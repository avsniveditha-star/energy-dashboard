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sni\Downloads\"/>
    </mc:Choice>
  </mc:AlternateContent>
  <xr:revisionPtr revIDLastSave="0" documentId="13_ncr:1_{BE081C4E-1B5D-478D-B0AC-76664EBAA070}" xr6:coauthVersionLast="47" xr6:coauthVersionMax="47" xr10:uidLastSave="{00000000-0000-0000-0000-000000000000}"/>
  <bookViews>
    <workbookView xWindow="-108" yWindow="-108" windowWidth="23256" windowHeight="13176" activeTab="1" xr2:uid="{92358E41-27AB-4930-8915-7CA3EE41C458}"/>
  </bookViews>
  <sheets>
    <sheet name="compressor readings" sheetId="1" r:id="rId1"/>
    <sheet name="load&amp;unload" sheetId="2" r:id="rId2"/>
    <sheet name="contribution of each compressor" sheetId="3" r:id="rId3"/>
    <sheet name="MV1" sheetId="4" r:id="rId4"/>
    <sheet name="MV 2" sheetId="5" r:id="rId5"/>
    <sheet name="COMPRESSORINMV PANEL1" sheetId="6" r:id="rId6"/>
    <sheet name="CFM IN EACH BAY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2" i="6" l="1"/>
  <c r="B141" i="6"/>
  <c r="B140" i="6"/>
  <c r="B139" i="6"/>
  <c r="B138" i="6"/>
  <c r="A138" i="6"/>
  <c r="A137" i="6"/>
  <c r="A136" i="6"/>
  <c r="B135" i="6"/>
  <c r="A135" i="6"/>
  <c r="B134" i="6"/>
  <c r="A134" i="6"/>
  <c r="B133" i="6"/>
  <c r="A133" i="6"/>
  <c r="B132" i="6"/>
  <c r="A132" i="6"/>
  <c r="B131" i="6"/>
  <c r="A131" i="6"/>
  <c r="B130" i="6"/>
  <c r="A130" i="6"/>
  <c r="B129" i="6"/>
  <c r="A129" i="6"/>
  <c r="B128" i="6"/>
  <c r="A128" i="6"/>
  <c r="B127" i="6"/>
  <c r="A127" i="6"/>
  <c r="B126" i="6"/>
  <c r="A126" i="6"/>
  <c r="B125" i="6"/>
  <c r="A125" i="6"/>
  <c r="B124" i="6"/>
  <c r="B108" i="6"/>
  <c r="A107" i="6"/>
  <c r="A106" i="6"/>
  <c r="B105" i="6"/>
  <c r="A105" i="6"/>
  <c r="B104" i="6"/>
  <c r="A104" i="6"/>
  <c r="B103" i="6"/>
  <c r="A103" i="6"/>
  <c r="B102" i="6"/>
  <c r="A102" i="6"/>
  <c r="B101" i="6"/>
  <c r="A101" i="6"/>
  <c r="B100" i="6"/>
  <c r="A100" i="6"/>
  <c r="B99" i="6"/>
  <c r="A99" i="6"/>
  <c r="B98" i="6"/>
  <c r="A98" i="6"/>
  <c r="B97" i="6"/>
  <c r="A97" i="6"/>
  <c r="B96" i="6"/>
  <c r="A96" i="6"/>
  <c r="B95" i="6"/>
  <c r="A95" i="6"/>
  <c r="B94" i="6"/>
  <c r="A94" i="6"/>
  <c r="A124" i="6" s="1"/>
  <c r="B74" i="6"/>
  <c r="A74" i="6"/>
  <c r="B73" i="6"/>
  <c r="A73" i="6"/>
  <c r="B72" i="6"/>
  <c r="A72" i="6"/>
  <c r="B71" i="6"/>
  <c r="A71" i="6"/>
  <c r="B70" i="6"/>
  <c r="A70" i="6"/>
  <c r="B69" i="6"/>
  <c r="A69" i="6"/>
  <c r="B68" i="6"/>
  <c r="A68" i="6"/>
  <c r="B67" i="6"/>
  <c r="A67" i="6"/>
  <c r="B66" i="6"/>
  <c r="A66" i="6"/>
  <c r="B65" i="6"/>
  <c r="A65" i="6"/>
  <c r="B64" i="6"/>
  <c r="A64" i="6"/>
  <c r="B63" i="6"/>
  <c r="A63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B33" i="6"/>
  <c r="A33" i="6"/>
  <c r="B32" i="6"/>
  <c r="A32" i="6"/>
  <c r="C2" i="6"/>
  <c r="C3" i="6"/>
  <c r="C4" i="6"/>
  <c r="C5" i="6"/>
  <c r="C6" i="6"/>
  <c r="C7" i="6"/>
  <c r="C8" i="6"/>
  <c r="C9" i="6"/>
  <c r="C10" i="6"/>
  <c r="B142" i="5"/>
  <c r="B141" i="5"/>
  <c r="B140" i="5"/>
  <c r="B139" i="5"/>
  <c r="B138" i="5"/>
  <c r="A138" i="5"/>
  <c r="A137" i="5"/>
  <c r="A136" i="5"/>
  <c r="B135" i="5"/>
  <c r="A135" i="5"/>
  <c r="B134" i="5"/>
  <c r="A134" i="5"/>
  <c r="B133" i="5"/>
  <c r="A133" i="5"/>
  <c r="B132" i="5"/>
  <c r="A132" i="5"/>
  <c r="B131" i="5"/>
  <c r="A131" i="5"/>
  <c r="B130" i="5"/>
  <c r="A130" i="5"/>
  <c r="B129" i="5"/>
  <c r="A129" i="5"/>
  <c r="B128" i="5"/>
  <c r="A128" i="5"/>
  <c r="B127" i="5"/>
  <c r="A127" i="5"/>
  <c r="B126" i="5"/>
  <c r="A126" i="5"/>
  <c r="B125" i="5"/>
  <c r="A125" i="5"/>
  <c r="B124" i="5"/>
  <c r="B108" i="5"/>
  <c r="A107" i="5"/>
  <c r="A106" i="5"/>
  <c r="B105" i="5"/>
  <c r="A105" i="5"/>
  <c r="B104" i="5"/>
  <c r="A104" i="5"/>
  <c r="B103" i="5"/>
  <c r="A103" i="5"/>
  <c r="B102" i="5"/>
  <c r="A102" i="5"/>
  <c r="B101" i="5"/>
  <c r="A101" i="5"/>
  <c r="B100" i="5"/>
  <c r="A100" i="5"/>
  <c r="B99" i="5"/>
  <c r="A99" i="5"/>
  <c r="B98" i="5"/>
  <c r="A98" i="5"/>
  <c r="B97" i="5"/>
  <c r="A97" i="5"/>
  <c r="B96" i="5"/>
  <c r="A96" i="5"/>
  <c r="B95" i="5"/>
  <c r="A95" i="5"/>
  <c r="B94" i="5"/>
  <c r="A94" i="5"/>
  <c r="A124" i="5" s="1"/>
  <c r="B74" i="5"/>
  <c r="A74" i="5"/>
  <c r="B73" i="5"/>
  <c r="A73" i="5"/>
  <c r="B72" i="5"/>
  <c r="A72" i="5"/>
  <c r="B71" i="5"/>
  <c r="A71" i="5"/>
  <c r="B70" i="5"/>
  <c r="A70" i="5"/>
  <c r="B69" i="5"/>
  <c r="A69" i="5"/>
  <c r="B68" i="5"/>
  <c r="A68" i="5"/>
  <c r="B67" i="5"/>
  <c r="A67" i="5"/>
  <c r="B66" i="5"/>
  <c r="A66" i="5"/>
  <c r="B65" i="5"/>
  <c r="A65" i="5"/>
  <c r="B64" i="5"/>
  <c r="A64" i="5"/>
  <c r="B63" i="5"/>
  <c r="A63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B33" i="5"/>
  <c r="A33" i="5"/>
  <c r="B32" i="5"/>
  <c r="A32" i="5"/>
  <c r="B142" i="3"/>
  <c r="B141" i="3"/>
  <c r="B140" i="3"/>
  <c r="B139" i="3"/>
  <c r="B138" i="3"/>
  <c r="A138" i="3"/>
  <c r="A137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B108" i="3"/>
  <c r="A107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A124" i="3" s="1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B33" i="3"/>
  <c r="A33" i="3"/>
  <c r="B32" i="3"/>
  <c r="A32" i="3"/>
  <c r="B142" i="2"/>
  <c r="B141" i="2"/>
  <c r="B140" i="2"/>
  <c r="B139" i="2"/>
  <c r="B138" i="2"/>
  <c r="A138" i="2"/>
  <c r="A137" i="2"/>
  <c r="A136" i="2"/>
  <c r="B135" i="2"/>
  <c r="A135" i="2"/>
  <c r="B134" i="2"/>
  <c r="A134" i="2"/>
  <c r="B133" i="2"/>
  <c r="A133" i="2"/>
  <c r="B132" i="2"/>
  <c r="A132" i="2"/>
  <c r="B131" i="2"/>
  <c r="A131" i="2"/>
  <c r="B130" i="2"/>
  <c r="A130" i="2"/>
  <c r="B129" i="2"/>
  <c r="A129" i="2"/>
  <c r="B128" i="2"/>
  <c r="A128" i="2"/>
  <c r="B127" i="2"/>
  <c r="A127" i="2"/>
  <c r="B126" i="2"/>
  <c r="A126" i="2"/>
  <c r="B125" i="2"/>
  <c r="A125" i="2"/>
  <c r="B124" i="2"/>
  <c r="B108" i="2"/>
  <c r="A107" i="2"/>
  <c r="A106" i="2"/>
  <c r="B105" i="2"/>
  <c r="A105" i="2"/>
  <c r="B104" i="2"/>
  <c r="A104" i="2"/>
  <c r="B103" i="2"/>
  <c r="A103" i="2"/>
  <c r="B102" i="2"/>
  <c r="A102" i="2"/>
  <c r="B101" i="2"/>
  <c r="A101" i="2"/>
  <c r="B100" i="2"/>
  <c r="A100" i="2"/>
  <c r="B99" i="2"/>
  <c r="A99" i="2"/>
  <c r="B98" i="2"/>
  <c r="A98" i="2"/>
  <c r="B97" i="2"/>
  <c r="A97" i="2"/>
  <c r="B96" i="2"/>
  <c r="A96" i="2"/>
  <c r="B95" i="2"/>
  <c r="A95" i="2"/>
  <c r="B94" i="2"/>
  <c r="A94" i="2"/>
  <c r="A124" i="2" s="1"/>
  <c r="B74" i="2"/>
  <c r="A74" i="2"/>
  <c r="B73" i="2"/>
  <c r="A73" i="2"/>
  <c r="B72" i="2"/>
  <c r="A72" i="2"/>
  <c r="B71" i="2"/>
  <c r="A71" i="2"/>
  <c r="B70" i="2"/>
  <c r="A70" i="2"/>
  <c r="B69" i="2"/>
  <c r="A69" i="2"/>
  <c r="B68" i="2"/>
  <c r="A68" i="2"/>
  <c r="B67" i="2"/>
  <c r="A67" i="2"/>
  <c r="B66" i="2"/>
  <c r="A66" i="2"/>
  <c r="B65" i="2"/>
  <c r="A65" i="2"/>
  <c r="B64" i="2"/>
  <c r="A64" i="2"/>
  <c r="B63" i="2"/>
  <c r="A63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B33" i="2"/>
  <c r="A33" i="2"/>
  <c r="B32" i="2"/>
  <c r="A32" i="2"/>
  <c r="A63" i="1"/>
  <c r="E41" i="7"/>
  <c r="E26" i="7"/>
  <c r="E27" i="7"/>
  <c r="E28" i="7"/>
  <c r="E25" i="7"/>
  <c r="F6" i="7"/>
  <c r="E3" i="7"/>
  <c r="E10" i="7"/>
  <c r="E9" i="7"/>
  <c r="E8" i="7"/>
  <c r="E7" i="7"/>
  <c r="E6" i="7"/>
  <c r="E4" i="7"/>
  <c r="E5" i="7"/>
  <c r="E2" i="7"/>
  <c r="I138" i="1"/>
  <c r="I139" i="1"/>
  <c r="F3" i="6"/>
  <c r="D2" i="3"/>
  <c r="R3" i="5"/>
  <c r="R4" i="5"/>
  <c r="R6" i="5"/>
  <c r="R8" i="5"/>
  <c r="R9" i="5"/>
  <c r="R10" i="5"/>
  <c r="R11" i="5"/>
  <c r="R12" i="5"/>
  <c r="R14" i="5"/>
  <c r="R15" i="5"/>
  <c r="R16" i="5"/>
  <c r="R17" i="5"/>
  <c r="R18" i="5"/>
  <c r="R20" i="5"/>
  <c r="Q3" i="5"/>
  <c r="Q4" i="5"/>
  <c r="Q6" i="5"/>
  <c r="Q8" i="5"/>
  <c r="Q9" i="5"/>
  <c r="Q10" i="5"/>
  <c r="Q11" i="5"/>
  <c r="Q12" i="5"/>
  <c r="Q14" i="5"/>
  <c r="Q15" i="5"/>
  <c r="Q16" i="5"/>
  <c r="Q17" i="5"/>
  <c r="Q18" i="5"/>
  <c r="Q20" i="5"/>
  <c r="P3" i="5"/>
  <c r="P4" i="5"/>
  <c r="P6" i="5"/>
  <c r="P8" i="5"/>
  <c r="P9" i="5"/>
  <c r="P10" i="5"/>
  <c r="P11" i="5"/>
  <c r="P12" i="5"/>
  <c r="P14" i="5"/>
  <c r="P15" i="5"/>
  <c r="P16" i="5"/>
  <c r="P17" i="5"/>
  <c r="P18" i="5"/>
  <c r="P20" i="5"/>
  <c r="O3" i="5"/>
  <c r="O4" i="5"/>
  <c r="O6" i="5"/>
  <c r="O8" i="5"/>
  <c r="O9" i="5"/>
  <c r="O10" i="5"/>
  <c r="O11" i="5"/>
  <c r="O12" i="5"/>
  <c r="O14" i="5"/>
  <c r="O15" i="5"/>
  <c r="O16" i="5"/>
  <c r="O17" i="5"/>
  <c r="O18" i="5"/>
  <c r="O20" i="5"/>
  <c r="N3" i="5"/>
  <c r="N4" i="5"/>
  <c r="N6" i="5"/>
  <c r="N8" i="5"/>
  <c r="N9" i="5"/>
  <c r="N10" i="5"/>
  <c r="N11" i="5"/>
  <c r="N12" i="5"/>
  <c r="N14" i="5"/>
  <c r="N15" i="5"/>
  <c r="N16" i="5"/>
  <c r="N17" i="5"/>
  <c r="N18" i="5"/>
  <c r="N20" i="5"/>
  <c r="M3" i="5"/>
  <c r="M4" i="5"/>
  <c r="M6" i="5"/>
  <c r="M8" i="5"/>
  <c r="M9" i="5"/>
  <c r="M10" i="5"/>
  <c r="M11" i="5"/>
  <c r="M12" i="5"/>
  <c r="M14" i="5"/>
  <c r="M15" i="5"/>
  <c r="M16" i="5"/>
  <c r="M17" i="5"/>
  <c r="M18" i="5"/>
  <c r="M20" i="5"/>
  <c r="L3" i="5"/>
  <c r="Z3" i="5" s="1"/>
  <c r="L4" i="5"/>
  <c r="L6" i="5"/>
  <c r="L8" i="5"/>
  <c r="L9" i="5"/>
  <c r="L10" i="5"/>
  <c r="L11" i="5"/>
  <c r="L12" i="5"/>
  <c r="L14" i="5"/>
  <c r="L15" i="5"/>
  <c r="L16" i="5"/>
  <c r="L17" i="5"/>
  <c r="L18" i="5"/>
  <c r="L20" i="5"/>
  <c r="Z20" i="5" s="1"/>
  <c r="K3" i="5"/>
  <c r="K4" i="5"/>
  <c r="K6" i="5"/>
  <c r="K8" i="5"/>
  <c r="K9" i="5"/>
  <c r="K10" i="5"/>
  <c r="K11" i="5"/>
  <c r="K12" i="5"/>
  <c r="K14" i="5"/>
  <c r="K15" i="5"/>
  <c r="K16" i="5"/>
  <c r="K17" i="5"/>
  <c r="K18" i="5"/>
  <c r="K20" i="5"/>
  <c r="M2" i="5"/>
  <c r="O2" i="5"/>
  <c r="N2" i="5"/>
  <c r="R2" i="5"/>
  <c r="Q2" i="5"/>
  <c r="Z2" i="5" s="1"/>
  <c r="V2" i="5" s="1"/>
  <c r="P2" i="5"/>
  <c r="L2" i="5"/>
  <c r="S2" i="5" s="1"/>
  <c r="K2" i="5"/>
  <c r="N14" i="4"/>
  <c r="N15" i="4"/>
  <c r="N16" i="4"/>
  <c r="N17" i="4"/>
  <c r="N18" i="4"/>
  <c r="N20" i="4"/>
  <c r="N21" i="4"/>
  <c r="N22" i="4"/>
  <c r="N23" i="4"/>
  <c r="N24" i="4"/>
  <c r="N25" i="4"/>
  <c r="N26" i="4"/>
  <c r="N27" i="4"/>
  <c r="N28" i="4"/>
  <c r="M12" i="4"/>
  <c r="M14" i="4"/>
  <c r="M15" i="4"/>
  <c r="M16" i="4"/>
  <c r="M17" i="4"/>
  <c r="M18" i="4"/>
  <c r="M20" i="4"/>
  <c r="M21" i="4"/>
  <c r="M22" i="4"/>
  <c r="M23" i="4"/>
  <c r="M24" i="4"/>
  <c r="M25" i="4"/>
  <c r="L14" i="4"/>
  <c r="L15" i="4"/>
  <c r="L16" i="4"/>
  <c r="L17" i="4"/>
  <c r="L18" i="4"/>
  <c r="L20" i="4"/>
  <c r="L21" i="4"/>
  <c r="L22" i="4"/>
  <c r="L23" i="4"/>
  <c r="L24" i="4"/>
  <c r="L25" i="4"/>
  <c r="K14" i="4"/>
  <c r="K15" i="4"/>
  <c r="K16" i="4"/>
  <c r="K17" i="4"/>
  <c r="K18" i="4"/>
  <c r="K20" i="4"/>
  <c r="K21" i="4"/>
  <c r="K22" i="4"/>
  <c r="K23" i="4"/>
  <c r="K24" i="4"/>
  <c r="K25" i="4"/>
  <c r="J14" i="4"/>
  <c r="J15" i="4"/>
  <c r="J16" i="4"/>
  <c r="J17" i="4"/>
  <c r="J18" i="4"/>
  <c r="J20" i="4"/>
  <c r="J21" i="4"/>
  <c r="J22" i="4"/>
  <c r="J23" i="4"/>
  <c r="J24" i="4"/>
  <c r="J25" i="4"/>
  <c r="I14" i="4"/>
  <c r="I15" i="4"/>
  <c r="I16" i="4"/>
  <c r="E8" i="6" s="1"/>
  <c r="I17" i="4"/>
  <c r="G9" i="6" s="1"/>
  <c r="I18" i="4"/>
  <c r="I20" i="4"/>
  <c r="G10" i="6" s="1"/>
  <c r="I21" i="4"/>
  <c r="I22" i="4"/>
  <c r="I23" i="4"/>
  <c r="I24" i="4"/>
  <c r="I25" i="4"/>
  <c r="L3" i="4"/>
  <c r="L4" i="4"/>
  <c r="L6" i="4"/>
  <c r="L8" i="4"/>
  <c r="L9" i="4"/>
  <c r="L10" i="4"/>
  <c r="L11" i="4"/>
  <c r="L12" i="4"/>
  <c r="N3" i="4"/>
  <c r="N4" i="4"/>
  <c r="N6" i="4"/>
  <c r="N8" i="4"/>
  <c r="N9" i="4"/>
  <c r="N10" i="4"/>
  <c r="N11" i="4"/>
  <c r="N12" i="4"/>
  <c r="M3" i="4"/>
  <c r="M4" i="4"/>
  <c r="M6" i="4"/>
  <c r="M8" i="4"/>
  <c r="M9" i="4"/>
  <c r="M10" i="4"/>
  <c r="M11" i="4"/>
  <c r="K3" i="4"/>
  <c r="K4" i="4"/>
  <c r="K6" i="4"/>
  <c r="K8" i="4"/>
  <c r="K9" i="4"/>
  <c r="K10" i="4"/>
  <c r="K11" i="4"/>
  <c r="K12" i="4"/>
  <c r="J3" i="4"/>
  <c r="J4" i="4"/>
  <c r="J6" i="4"/>
  <c r="J8" i="4"/>
  <c r="J9" i="4"/>
  <c r="J10" i="4"/>
  <c r="J11" i="4"/>
  <c r="J12" i="4"/>
  <c r="I3" i="4"/>
  <c r="G3" i="6" s="1"/>
  <c r="I4" i="4"/>
  <c r="I6" i="4"/>
  <c r="F4" i="6" s="1"/>
  <c r="I8" i="4"/>
  <c r="I9" i="4"/>
  <c r="F5" i="6" s="1"/>
  <c r="I10" i="4"/>
  <c r="E6" i="6" s="1"/>
  <c r="I11" i="4"/>
  <c r="E7" i="6" s="1"/>
  <c r="I12" i="4"/>
  <c r="N2" i="4"/>
  <c r="M2" i="4"/>
  <c r="L2" i="4"/>
  <c r="K2" i="4"/>
  <c r="J2" i="4"/>
  <c r="I2" i="4"/>
  <c r="F2" i="6" s="1"/>
  <c r="W2" i="5" l="1"/>
  <c r="Z15" i="5"/>
  <c r="X15" i="5" s="1"/>
  <c r="V8" i="5"/>
  <c r="W10" i="5"/>
  <c r="T8" i="5"/>
  <c r="W15" i="5"/>
  <c r="V11" i="5"/>
  <c r="X2" i="5"/>
  <c r="AA2" i="5" s="1"/>
  <c r="Y2" i="5"/>
  <c r="Z11" i="5"/>
  <c r="W11" i="5" s="1"/>
  <c r="Z10" i="5"/>
  <c r="V10" i="5" s="1"/>
  <c r="Z8" i="5"/>
  <c r="Y8" i="5" s="1"/>
  <c r="U10" i="5"/>
  <c r="Z14" i="5"/>
  <c r="V14" i="5" s="1"/>
  <c r="Y20" i="5"/>
  <c r="V3" i="5"/>
  <c r="W3" i="5"/>
  <c r="U3" i="5"/>
  <c r="X3" i="5"/>
  <c r="T15" i="5"/>
  <c r="U15" i="5"/>
  <c r="S15" i="5"/>
  <c r="V15" i="5"/>
  <c r="Y15" i="5"/>
  <c r="T11" i="5"/>
  <c r="U11" i="5"/>
  <c r="X11" i="5"/>
  <c r="S11" i="5"/>
  <c r="Y11" i="5"/>
  <c r="S10" i="5"/>
  <c r="X10" i="5"/>
  <c r="Y10" i="5"/>
  <c r="T10" i="5"/>
  <c r="V20" i="5"/>
  <c r="W20" i="5"/>
  <c r="Y3" i="5"/>
  <c r="T20" i="5"/>
  <c r="T3" i="5"/>
  <c r="U20" i="5"/>
  <c r="U16" i="5"/>
  <c r="X8" i="5"/>
  <c r="X20" i="5"/>
  <c r="T2" i="5"/>
  <c r="U2" i="5"/>
  <c r="Z16" i="5"/>
  <c r="X16" i="5" s="1"/>
  <c r="S3" i="5"/>
  <c r="S20" i="5"/>
  <c r="Z17" i="5"/>
  <c r="Y17" i="5" s="1"/>
  <c r="Z9" i="5"/>
  <c r="U9" i="5" s="1"/>
  <c r="O12" i="4"/>
  <c r="S12" i="4" s="1"/>
  <c r="G2" i="6"/>
  <c r="O21" i="4"/>
  <c r="Q21" i="4" s="1"/>
  <c r="O24" i="4"/>
  <c r="Q24" i="4" s="1"/>
  <c r="O22" i="4"/>
  <c r="Q22" i="4" s="1"/>
  <c r="R12" i="4"/>
  <c r="D7" i="6"/>
  <c r="T12" i="4"/>
  <c r="E3" i="6"/>
  <c r="R21" i="4"/>
  <c r="E4" i="6"/>
  <c r="P12" i="4"/>
  <c r="G8" i="6"/>
  <c r="D4" i="6"/>
  <c r="H4" i="6" s="1"/>
  <c r="G7" i="6"/>
  <c r="O25" i="4"/>
  <c r="Q25" i="4" s="1"/>
  <c r="D2" i="6"/>
  <c r="H2" i="6" s="1"/>
  <c r="D3" i="6"/>
  <c r="F9" i="6"/>
  <c r="G6" i="6"/>
  <c r="E2" i="6"/>
  <c r="F8" i="6"/>
  <c r="G5" i="6"/>
  <c r="G4" i="6"/>
  <c r="D10" i="6"/>
  <c r="P21" i="4"/>
  <c r="D6" i="6"/>
  <c r="D5" i="6"/>
  <c r="F10" i="6"/>
  <c r="O2" i="4"/>
  <c r="S2" i="4" s="1"/>
  <c r="O23" i="4"/>
  <c r="Q23" i="4" s="1"/>
  <c r="E10" i="6"/>
  <c r="F7" i="6"/>
  <c r="E9" i="6"/>
  <c r="F6" i="6"/>
  <c r="E5" i="6"/>
  <c r="D9" i="6"/>
  <c r="Q12" i="4"/>
  <c r="M139" i="1"/>
  <c r="O139" i="1" s="1"/>
  <c r="D8" i="6"/>
  <c r="Z18" i="5"/>
  <c r="W18" i="5" s="1"/>
  <c r="Z12" i="5"/>
  <c r="Z6" i="5"/>
  <c r="V6" i="5" s="1"/>
  <c r="Z4" i="5"/>
  <c r="V4" i="5" s="1"/>
  <c r="O20" i="4"/>
  <c r="S20" i="4" s="1"/>
  <c r="O18" i="4"/>
  <c r="Q18" i="4" s="1"/>
  <c r="R18" i="4"/>
  <c r="S18" i="4"/>
  <c r="T18" i="4"/>
  <c r="P18" i="4"/>
  <c r="O17" i="4"/>
  <c r="P17" i="4" s="1"/>
  <c r="O16" i="4"/>
  <c r="Q16" i="4" s="1"/>
  <c r="Q17" i="4"/>
  <c r="O15" i="4"/>
  <c r="S15" i="4" s="1"/>
  <c r="O14" i="4"/>
  <c r="O8" i="4"/>
  <c r="R8" i="4" s="1"/>
  <c r="O3" i="4"/>
  <c r="S3" i="4" s="1"/>
  <c r="O9" i="4"/>
  <c r="P9" i="4" s="1"/>
  <c r="O11" i="4"/>
  <c r="Q11" i="4" s="1"/>
  <c r="O10" i="4"/>
  <c r="P10" i="4" s="1"/>
  <c r="O6" i="4"/>
  <c r="P6" i="4" s="1"/>
  <c r="O4" i="4"/>
  <c r="P4" i="4" s="1"/>
  <c r="H5" i="6" l="1"/>
  <c r="H3" i="6"/>
  <c r="AA3" i="5"/>
  <c r="T14" i="5"/>
  <c r="T16" i="5"/>
  <c r="T17" i="5"/>
  <c r="X17" i="5"/>
  <c r="Y16" i="5"/>
  <c r="X14" i="5"/>
  <c r="S8" i="5"/>
  <c r="Y14" i="5"/>
  <c r="S16" i="5"/>
  <c r="U8" i="5"/>
  <c r="S14" i="5"/>
  <c r="AA14" i="5" s="1"/>
  <c r="W8" i="5"/>
  <c r="W14" i="5"/>
  <c r="U14" i="5"/>
  <c r="X18" i="5"/>
  <c r="V18" i="5"/>
  <c r="U18" i="5"/>
  <c r="Y9" i="5"/>
  <c r="S9" i="5"/>
  <c r="X9" i="5"/>
  <c r="T9" i="5"/>
  <c r="AA15" i="5"/>
  <c r="V16" i="5"/>
  <c r="W16" i="5"/>
  <c r="Y4" i="5"/>
  <c r="W9" i="5"/>
  <c r="AA20" i="5"/>
  <c r="X4" i="5"/>
  <c r="V9" i="5"/>
  <c r="U6" i="5"/>
  <c r="AA11" i="5"/>
  <c r="V17" i="5"/>
  <c r="W17" i="5"/>
  <c r="AA10" i="5"/>
  <c r="S17" i="5"/>
  <c r="U17" i="5"/>
  <c r="H6" i="6"/>
  <c r="H7" i="6"/>
  <c r="H10" i="6"/>
  <c r="T17" i="4"/>
  <c r="S17" i="4"/>
  <c r="T16" i="4"/>
  <c r="R17" i="4"/>
  <c r="U17" i="4" s="1"/>
  <c r="P22" i="4"/>
  <c r="T24" i="4"/>
  <c r="S22" i="4"/>
  <c r="S24" i="4"/>
  <c r="T21" i="4"/>
  <c r="U21" i="4" s="1"/>
  <c r="H9" i="6"/>
  <c r="T22" i="4"/>
  <c r="S21" i="4"/>
  <c r="R22" i="4"/>
  <c r="P24" i="4"/>
  <c r="R24" i="4"/>
  <c r="P2" i="4"/>
  <c r="Q2" i="4"/>
  <c r="R2" i="4"/>
  <c r="P16" i="4"/>
  <c r="U12" i="4"/>
  <c r="T2" i="4"/>
  <c r="R25" i="4"/>
  <c r="P25" i="4"/>
  <c r="T25" i="4"/>
  <c r="H8" i="6"/>
  <c r="S16" i="4"/>
  <c r="R16" i="4"/>
  <c r="R23" i="4"/>
  <c r="P23" i="4"/>
  <c r="T23" i="4"/>
  <c r="S25" i="4"/>
  <c r="S23" i="4"/>
  <c r="T18" i="5"/>
  <c r="Y18" i="5"/>
  <c r="S18" i="5"/>
  <c r="Y12" i="5"/>
  <c r="W12" i="5"/>
  <c r="U12" i="5"/>
  <c r="X12" i="5"/>
  <c r="V12" i="5"/>
  <c r="T12" i="5"/>
  <c r="S12" i="5"/>
  <c r="AA12" i="5" s="1"/>
  <c r="Y6" i="5"/>
  <c r="X6" i="5"/>
  <c r="S6" i="5"/>
  <c r="W6" i="5"/>
  <c r="T6" i="5"/>
  <c r="T4" i="5"/>
  <c r="W4" i="5"/>
  <c r="S4" i="5"/>
  <c r="U4" i="5"/>
  <c r="R20" i="4"/>
  <c r="P20" i="4"/>
  <c r="T20" i="4"/>
  <c r="Q20" i="4"/>
  <c r="U18" i="4"/>
  <c r="T15" i="4"/>
  <c r="P15" i="4"/>
  <c r="Q15" i="4"/>
  <c r="R15" i="4"/>
  <c r="T14" i="4"/>
  <c r="S14" i="4"/>
  <c r="R14" i="4"/>
  <c r="Q14" i="4"/>
  <c r="P14" i="4"/>
  <c r="P11" i="4"/>
  <c r="T8" i="4"/>
  <c r="Q8" i="4"/>
  <c r="P8" i="4"/>
  <c r="S8" i="4"/>
  <c r="R3" i="4"/>
  <c r="Q3" i="4"/>
  <c r="T3" i="4"/>
  <c r="P3" i="4"/>
  <c r="R9" i="4"/>
  <c r="S4" i="4"/>
  <c r="Q9" i="4"/>
  <c r="R4" i="4"/>
  <c r="T9" i="4"/>
  <c r="Q4" i="4"/>
  <c r="S9" i="4"/>
  <c r="Q10" i="4"/>
  <c r="S11" i="4"/>
  <c r="R11" i="4"/>
  <c r="T11" i="4"/>
  <c r="R10" i="4"/>
  <c r="S10" i="4"/>
  <c r="T10" i="4"/>
  <c r="T4" i="4"/>
  <c r="S6" i="4"/>
  <c r="Q6" i="4"/>
  <c r="T6" i="4"/>
  <c r="R6" i="4"/>
  <c r="D6" i="2"/>
  <c r="E6" i="2"/>
  <c r="I6" i="2"/>
  <c r="J6" i="2"/>
  <c r="M6" i="2"/>
  <c r="O6" i="2" s="1"/>
  <c r="N6" i="2"/>
  <c r="Q6" i="2"/>
  <c r="S6" i="2" s="1"/>
  <c r="R6" i="2"/>
  <c r="D13" i="2"/>
  <c r="E13" i="2"/>
  <c r="I13" i="2"/>
  <c r="J13" i="2"/>
  <c r="K13" i="2" s="1"/>
  <c r="M13" i="2"/>
  <c r="N13" i="2"/>
  <c r="O13" i="2"/>
  <c r="Q13" i="2"/>
  <c r="S13" i="2" s="1"/>
  <c r="R13" i="2"/>
  <c r="D14" i="2"/>
  <c r="E14" i="2"/>
  <c r="I14" i="2"/>
  <c r="J14" i="2"/>
  <c r="M14" i="2"/>
  <c r="N14" i="2"/>
  <c r="O14" i="2"/>
  <c r="Q14" i="2"/>
  <c r="R14" i="2"/>
  <c r="S14" i="2"/>
  <c r="D15" i="2"/>
  <c r="F15" i="2" s="1"/>
  <c r="E15" i="2"/>
  <c r="I15" i="2"/>
  <c r="J15" i="2"/>
  <c r="M15" i="2"/>
  <c r="N15" i="2"/>
  <c r="Q15" i="2"/>
  <c r="R15" i="2"/>
  <c r="S15" i="2"/>
  <c r="D20" i="2"/>
  <c r="E20" i="2"/>
  <c r="F20" i="2"/>
  <c r="I20" i="2"/>
  <c r="J20" i="2"/>
  <c r="M20" i="2"/>
  <c r="O20" i="2" s="1"/>
  <c r="N20" i="2"/>
  <c r="Q20" i="2"/>
  <c r="R20" i="2"/>
  <c r="S20" i="2"/>
  <c r="D21" i="2"/>
  <c r="E21" i="2"/>
  <c r="I21" i="2"/>
  <c r="J21" i="2"/>
  <c r="K21" i="2"/>
  <c r="M21" i="2"/>
  <c r="O21" i="2" s="1"/>
  <c r="N21" i="2"/>
  <c r="Q21" i="2"/>
  <c r="R21" i="2"/>
  <c r="S21" i="2"/>
  <c r="D22" i="2"/>
  <c r="E22" i="2"/>
  <c r="F22" i="2"/>
  <c r="I22" i="2"/>
  <c r="J22" i="2"/>
  <c r="K22" i="2"/>
  <c r="M22" i="2"/>
  <c r="O22" i="2" s="1"/>
  <c r="N22" i="2"/>
  <c r="Q22" i="2"/>
  <c r="R22" i="2"/>
  <c r="S22" i="2" s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7" i="3"/>
  <c r="G18" i="3"/>
  <c r="G19" i="3"/>
  <c r="G20" i="3"/>
  <c r="G21" i="3"/>
  <c r="G22" i="3"/>
  <c r="G23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8" i="3"/>
  <c r="F19" i="3"/>
  <c r="F20" i="3"/>
  <c r="F21" i="3"/>
  <c r="F22" i="3"/>
  <c r="F23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7" i="3"/>
  <c r="E18" i="3"/>
  <c r="E19" i="3"/>
  <c r="E20" i="3"/>
  <c r="E21" i="3"/>
  <c r="E22" i="3"/>
  <c r="E23" i="3"/>
  <c r="E2" i="3"/>
  <c r="D22" i="3"/>
  <c r="D23" i="3"/>
  <c r="D3" i="3"/>
  <c r="D4" i="3"/>
  <c r="D5" i="3"/>
  <c r="D6" i="3"/>
  <c r="D7" i="3"/>
  <c r="D8" i="3"/>
  <c r="C8" i="3" s="1"/>
  <c r="D9" i="3"/>
  <c r="D10" i="3"/>
  <c r="D11" i="3"/>
  <c r="D12" i="3"/>
  <c r="D13" i="3"/>
  <c r="D14" i="3"/>
  <c r="D15" i="3"/>
  <c r="D18" i="3"/>
  <c r="D19" i="3"/>
  <c r="D20" i="3"/>
  <c r="D21" i="3"/>
  <c r="C21" i="3" s="1"/>
  <c r="Q3" i="2"/>
  <c r="S3" i="2"/>
  <c r="S23" i="2"/>
  <c r="S2" i="2"/>
  <c r="R3" i="2"/>
  <c r="R4" i="2"/>
  <c r="S4" i="2" s="1"/>
  <c r="R5" i="2"/>
  <c r="R7" i="2"/>
  <c r="R8" i="2"/>
  <c r="R9" i="2"/>
  <c r="R10" i="2"/>
  <c r="R11" i="2"/>
  <c r="R12" i="2"/>
  <c r="R16" i="2"/>
  <c r="R18" i="2"/>
  <c r="R19" i="2"/>
  <c r="R23" i="2"/>
  <c r="R2" i="2"/>
  <c r="Q4" i="2"/>
  <c r="Q5" i="2"/>
  <c r="S5" i="2" s="1"/>
  <c r="Q7" i="2"/>
  <c r="S7" i="2" s="1"/>
  <c r="Q8" i="2"/>
  <c r="S8" i="2" s="1"/>
  <c r="Q9" i="2"/>
  <c r="S9" i="2" s="1"/>
  <c r="Q10" i="2"/>
  <c r="S10" i="2" s="1"/>
  <c r="Q11" i="2"/>
  <c r="S11" i="2" s="1"/>
  <c r="Q12" i="2"/>
  <c r="S12" i="2" s="1"/>
  <c r="Q16" i="2"/>
  <c r="S16" i="2" s="1"/>
  <c r="Q18" i="2"/>
  <c r="Q23" i="2"/>
  <c r="O12" i="2"/>
  <c r="N3" i="2"/>
  <c r="N4" i="2"/>
  <c r="N5" i="2"/>
  <c r="N7" i="2"/>
  <c r="N8" i="2"/>
  <c r="N9" i="2"/>
  <c r="O9" i="2" s="1"/>
  <c r="N10" i="2"/>
  <c r="O10" i="2" s="1"/>
  <c r="N11" i="2"/>
  <c r="O11" i="2" s="1"/>
  <c r="N12" i="2"/>
  <c r="N16" i="2"/>
  <c r="N17" i="2"/>
  <c r="N18" i="2"/>
  <c r="N19" i="2"/>
  <c r="N23" i="2"/>
  <c r="N2" i="2"/>
  <c r="M3" i="2"/>
  <c r="O3" i="2" s="1"/>
  <c r="M4" i="2"/>
  <c r="O4" i="2" s="1"/>
  <c r="M5" i="2"/>
  <c r="O5" i="2" s="1"/>
  <c r="M7" i="2"/>
  <c r="O7" i="2" s="1"/>
  <c r="M8" i="2"/>
  <c r="M9" i="2"/>
  <c r="M10" i="2"/>
  <c r="M11" i="2"/>
  <c r="M12" i="2"/>
  <c r="M16" i="2"/>
  <c r="O16" i="2" s="1"/>
  <c r="M17" i="2"/>
  <c r="O17" i="2" s="1"/>
  <c r="M18" i="2"/>
  <c r="O18" i="2" s="1"/>
  <c r="M19" i="2"/>
  <c r="O19" i="2" s="1"/>
  <c r="M23" i="2"/>
  <c r="O23" i="2" s="1"/>
  <c r="M2" i="2"/>
  <c r="O2" i="2" s="1"/>
  <c r="K3" i="2"/>
  <c r="K4" i="2"/>
  <c r="K19" i="2"/>
  <c r="K2" i="2"/>
  <c r="M53" i="1"/>
  <c r="L53" i="1"/>
  <c r="K53" i="1"/>
  <c r="J53" i="1"/>
  <c r="I53" i="1"/>
  <c r="J3" i="2"/>
  <c r="J4" i="2"/>
  <c r="J5" i="2"/>
  <c r="J7" i="2"/>
  <c r="J8" i="2"/>
  <c r="J9" i="2"/>
  <c r="J10" i="2"/>
  <c r="J11" i="2"/>
  <c r="J12" i="2"/>
  <c r="J16" i="2"/>
  <c r="K16" i="2" s="1"/>
  <c r="J17" i="2"/>
  <c r="J18" i="2"/>
  <c r="K18" i="2" s="1"/>
  <c r="J19" i="2"/>
  <c r="J23" i="2"/>
  <c r="J2" i="2"/>
  <c r="I3" i="2"/>
  <c r="I4" i="2"/>
  <c r="I5" i="2"/>
  <c r="K5" i="2" s="1"/>
  <c r="I7" i="2"/>
  <c r="K7" i="2" s="1"/>
  <c r="I8" i="2"/>
  <c r="I9" i="2"/>
  <c r="I10" i="2"/>
  <c r="I11" i="2"/>
  <c r="K11" i="2" s="1"/>
  <c r="I12" i="2"/>
  <c r="K12" i="2" s="1"/>
  <c r="I16" i="2"/>
  <c r="I17" i="2"/>
  <c r="K17" i="2" s="1"/>
  <c r="I18" i="2"/>
  <c r="I19" i="2"/>
  <c r="I23" i="2"/>
  <c r="I2" i="2"/>
  <c r="I3" i="1"/>
  <c r="F23" i="2"/>
  <c r="E3" i="2"/>
  <c r="E4" i="2"/>
  <c r="E5" i="2"/>
  <c r="E7" i="2"/>
  <c r="E8" i="2"/>
  <c r="E9" i="2"/>
  <c r="E10" i="2"/>
  <c r="E11" i="2"/>
  <c r="F11" i="2" s="1"/>
  <c r="E12" i="2"/>
  <c r="F12" i="2" s="1"/>
  <c r="E16" i="2"/>
  <c r="F16" i="2" s="1"/>
  <c r="E17" i="2"/>
  <c r="F17" i="2" s="1"/>
  <c r="E18" i="2"/>
  <c r="F18" i="2" s="1"/>
  <c r="E19" i="2"/>
  <c r="F19" i="2" s="1"/>
  <c r="E23" i="2"/>
  <c r="E2" i="2"/>
  <c r="D23" i="2"/>
  <c r="D19" i="2"/>
  <c r="D16" i="2"/>
  <c r="D17" i="2"/>
  <c r="D18" i="2"/>
  <c r="D3" i="2"/>
  <c r="D7" i="2"/>
  <c r="F7" i="2" s="1"/>
  <c r="D8" i="2"/>
  <c r="F8" i="2" s="1"/>
  <c r="D9" i="2"/>
  <c r="D10" i="2"/>
  <c r="D11" i="2"/>
  <c r="D12" i="2"/>
  <c r="D2" i="2"/>
  <c r="F2" i="2" s="1"/>
  <c r="I145" i="1"/>
  <c r="R145" i="1"/>
  <c r="L145" i="1"/>
  <c r="K145" i="1"/>
  <c r="J145" i="1"/>
  <c r="J142" i="1"/>
  <c r="D145" i="1"/>
  <c r="M84" i="1"/>
  <c r="L84" i="1"/>
  <c r="K84" i="1"/>
  <c r="J84" i="1"/>
  <c r="I84" i="1"/>
  <c r="H84" i="1"/>
  <c r="G84" i="1"/>
  <c r="F84" i="1"/>
  <c r="E84" i="1"/>
  <c r="D84" i="1"/>
  <c r="I115" i="1"/>
  <c r="H115" i="1"/>
  <c r="G115" i="1"/>
  <c r="E115" i="1"/>
  <c r="F115" i="1"/>
  <c r="D115" i="1"/>
  <c r="I112" i="1"/>
  <c r="I101" i="1"/>
  <c r="I102" i="1"/>
  <c r="I103" i="1"/>
  <c r="I104" i="1"/>
  <c r="I105" i="1"/>
  <c r="I108" i="1"/>
  <c r="I109" i="1"/>
  <c r="I110" i="1"/>
  <c r="I111" i="1"/>
  <c r="E95" i="1"/>
  <c r="E96" i="1"/>
  <c r="E97" i="1"/>
  <c r="E98" i="1"/>
  <c r="E101" i="1"/>
  <c r="E102" i="1"/>
  <c r="E103" i="1"/>
  <c r="E104" i="1"/>
  <c r="E105" i="1"/>
  <c r="E108" i="1"/>
  <c r="E109" i="1"/>
  <c r="E110" i="1"/>
  <c r="E111" i="1"/>
  <c r="E112" i="1"/>
  <c r="J112" i="1" s="1"/>
  <c r="M112" i="1" s="1"/>
  <c r="D95" i="1"/>
  <c r="I95" i="1" s="1"/>
  <c r="D96" i="1"/>
  <c r="I96" i="1" s="1"/>
  <c r="D97" i="1"/>
  <c r="I97" i="1" s="1"/>
  <c r="D98" i="1"/>
  <c r="I98" i="1" s="1"/>
  <c r="D101" i="1"/>
  <c r="D102" i="1"/>
  <c r="D103" i="1"/>
  <c r="D104" i="1"/>
  <c r="D105" i="1"/>
  <c r="D108" i="1"/>
  <c r="D109" i="1"/>
  <c r="D110" i="1"/>
  <c r="D111" i="1"/>
  <c r="D112" i="1"/>
  <c r="D64" i="1"/>
  <c r="D65" i="1"/>
  <c r="D66" i="1"/>
  <c r="D67" i="1"/>
  <c r="D68" i="1"/>
  <c r="D69" i="1"/>
  <c r="D70" i="1"/>
  <c r="D71" i="1"/>
  <c r="D72" i="1"/>
  <c r="D73" i="1"/>
  <c r="I73" i="1" s="1"/>
  <c r="D74" i="1"/>
  <c r="D75" i="1"/>
  <c r="D76" i="1"/>
  <c r="D77" i="1"/>
  <c r="D78" i="1"/>
  <c r="D79" i="1"/>
  <c r="D80" i="1"/>
  <c r="D81" i="1"/>
  <c r="D63" i="1"/>
  <c r="M23" i="1"/>
  <c r="L23" i="1"/>
  <c r="K23" i="1"/>
  <c r="J23" i="1"/>
  <c r="I23" i="1"/>
  <c r="H23" i="1"/>
  <c r="G23" i="1"/>
  <c r="F23" i="1"/>
  <c r="E23" i="1"/>
  <c r="D23" i="1"/>
  <c r="A51" i="1"/>
  <c r="A52" i="1"/>
  <c r="A53" i="1"/>
  <c r="A50" i="1"/>
  <c r="R139" i="1"/>
  <c r="R140" i="1"/>
  <c r="R141" i="1"/>
  <c r="R142" i="1"/>
  <c r="Q139" i="1"/>
  <c r="M140" i="1"/>
  <c r="Q140" i="1" s="1"/>
  <c r="L139" i="1"/>
  <c r="L140" i="1"/>
  <c r="L141" i="1"/>
  <c r="L142" i="1"/>
  <c r="K139" i="1"/>
  <c r="K140" i="1"/>
  <c r="K141" i="1"/>
  <c r="K142" i="1"/>
  <c r="J139" i="1"/>
  <c r="J140" i="1"/>
  <c r="J141" i="1"/>
  <c r="I140" i="1"/>
  <c r="I141" i="1"/>
  <c r="M141" i="1" s="1"/>
  <c r="I142" i="1"/>
  <c r="D138" i="1"/>
  <c r="D139" i="1"/>
  <c r="D140" i="1"/>
  <c r="D141" i="1"/>
  <c r="D142" i="1"/>
  <c r="H109" i="1"/>
  <c r="H110" i="1"/>
  <c r="H111" i="1"/>
  <c r="H112" i="1"/>
  <c r="G109" i="1"/>
  <c r="L109" i="1" s="1"/>
  <c r="G110" i="1"/>
  <c r="G111" i="1"/>
  <c r="G112" i="1"/>
  <c r="L112" i="1" s="1"/>
  <c r="F109" i="1"/>
  <c r="F110" i="1"/>
  <c r="J110" i="1" s="1"/>
  <c r="M110" i="1" s="1"/>
  <c r="F111" i="1"/>
  <c r="F112" i="1"/>
  <c r="J109" i="1"/>
  <c r="M109" i="1" s="1"/>
  <c r="J111" i="1"/>
  <c r="M111" i="1" s="1"/>
  <c r="H78" i="1"/>
  <c r="H79" i="1"/>
  <c r="H80" i="1"/>
  <c r="H81" i="1"/>
  <c r="G78" i="1"/>
  <c r="G79" i="1"/>
  <c r="G80" i="1"/>
  <c r="G81" i="1"/>
  <c r="F78" i="1"/>
  <c r="K78" i="1" s="1"/>
  <c r="F79" i="1"/>
  <c r="L79" i="1" s="1"/>
  <c r="F80" i="1"/>
  <c r="K80" i="1" s="1"/>
  <c r="F81" i="1"/>
  <c r="I81" i="1" s="1"/>
  <c r="E78" i="1"/>
  <c r="E79" i="1"/>
  <c r="E80" i="1"/>
  <c r="E81" i="1"/>
  <c r="H47" i="1"/>
  <c r="H48" i="1"/>
  <c r="H49" i="1"/>
  <c r="H50" i="1"/>
  <c r="H46" i="1"/>
  <c r="I50" i="1"/>
  <c r="G47" i="1"/>
  <c r="G48" i="1"/>
  <c r="G49" i="1"/>
  <c r="G50" i="1"/>
  <c r="K43" i="1"/>
  <c r="F47" i="1"/>
  <c r="F48" i="1"/>
  <c r="F49" i="1"/>
  <c r="F50" i="1"/>
  <c r="E47" i="1"/>
  <c r="J47" i="1" s="1"/>
  <c r="M47" i="1" s="1"/>
  <c r="E48" i="1"/>
  <c r="E49" i="1"/>
  <c r="J49" i="1" s="1"/>
  <c r="M49" i="1" s="1"/>
  <c r="E50" i="1"/>
  <c r="D47" i="1"/>
  <c r="D48" i="1"/>
  <c r="D49" i="1"/>
  <c r="D50" i="1"/>
  <c r="A49" i="1"/>
  <c r="A48" i="1"/>
  <c r="H17" i="1"/>
  <c r="H18" i="1"/>
  <c r="H19" i="1"/>
  <c r="H20" i="1"/>
  <c r="G17" i="1"/>
  <c r="G18" i="1"/>
  <c r="G19" i="1"/>
  <c r="G20" i="1"/>
  <c r="F17" i="1"/>
  <c r="F18" i="1"/>
  <c r="F19" i="1"/>
  <c r="F20" i="1"/>
  <c r="E17" i="1"/>
  <c r="E18" i="1"/>
  <c r="E19" i="1"/>
  <c r="E20" i="1"/>
  <c r="D17" i="1"/>
  <c r="D18" i="1"/>
  <c r="D19" i="1"/>
  <c r="D20" i="1"/>
  <c r="B139" i="1"/>
  <c r="B140" i="1"/>
  <c r="B141" i="1"/>
  <c r="B142" i="1"/>
  <c r="R138" i="1"/>
  <c r="L138" i="1"/>
  <c r="K138" i="1"/>
  <c r="J138" i="1"/>
  <c r="B138" i="1"/>
  <c r="A136" i="1"/>
  <c r="A137" i="1"/>
  <c r="A138" i="1"/>
  <c r="H108" i="1"/>
  <c r="G108" i="1"/>
  <c r="F108" i="1"/>
  <c r="B108" i="1"/>
  <c r="A106" i="1"/>
  <c r="A107" i="1"/>
  <c r="H73" i="1"/>
  <c r="H74" i="1"/>
  <c r="H77" i="1"/>
  <c r="G73" i="1"/>
  <c r="G74" i="1"/>
  <c r="G77" i="1"/>
  <c r="F73" i="1"/>
  <c r="F74" i="1"/>
  <c r="F77" i="1"/>
  <c r="E73" i="1"/>
  <c r="E74" i="1"/>
  <c r="E77" i="1"/>
  <c r="A44" i="1"/>
  <c r="G46" i="1"/>
  <c r="F46" i="1"/>
  <c r="E46" i="1"/>
  <c r="D46" i="1"/>
  <c r="A45" i="1"/>
  <c r="A46" i="1"/>
  <c r="A47" i="1"/>
  <c r="H16" i="1"/>
  <c r="G16" i="1"/>
  <c r="F16" i="1"/>
  <c r="E16" i="1"/>
  <c r="D16" i="1"/>
  <c r="I16" i="1" s="1"/>
  <c r="R135" i="1"/>
  <c r="L135" i="1"/>
  <c r="K135" i="1"/>
  <c r="J135" i="1"/>
  <c r="I135" i="1"/>
  <c r="D135" i="1"/>
  <c r="D133" i="1"/>
  <c r="D134" i="1"/>
  <c r="H97" i="1"/>
  <c r="H98" i="1"/>
  <c r="H101" i="1"/>
  <c r="H102" i="1"/>
  <c r="H103" i="1"/>
  <c r="H104" i="1"/>
  <c r="H105" i="1"/>
  <c r="G97" i="1"/>
  <c r="G98" i="1"/>
  <c r="G101" i="1"/>
  <c r="G102" i="1"/>
  <c r="G103" i="1"/>
  <c r="G104" i="1"/>
  <c r="G105" i="1"/>
  <c r="F97" i="1"/>
  <c r="F98" i="1"/>
  <c r="F101" i="1"/>
  <c r="F102" i="1"/>
  <c r="F103" i="1"/>
  <c r="F104" i="1"/>
  <c r="F105" i="1"/>
  <c r="B104" i="1"/>
  <c r="B105" i="1"/>
  <c r="A104" i="1"/>
  <c r="A105" i="1"/>
  <c r="B73" i="1"/>
  <c r="B74" i="1"/>
  <c r="B72" i="1"/>
  <c r="A73" i="1"/>
  <c r="A74" i="1"/>
  <c r="H67" i="1"/>
  <c r="H70" i="1"/>
  <c r="H71" i="1"/>
  <c r="H72" i="1"/>
  <c r="G67" i="1"/>
  <c r="G70" i="1"/>
  <c r="G71" i="1"/>
  <c r="G72" i="1"/>
  <c r="F67" i="1"/>
  <c r="F70" i="1"/>
  <c r="F71" i="1"/>
  <c r="F72" i="1"/>
  <c r="E67" i="1"/>
  <c r="E70" i="1"/>
  <c r="E71" i="1"/>
  <c r="E72" i="1"/>
  <c r="H39" i="1"/>
  <c r="H40" i="1"/>
  <c r="H41" i="1"/>
  <c r="H42" i="1"/>
  <c r="H43" i="1"/>
  <c r="G39" i="1"/>
  <c r="G40" i="1"/>
  <c r="G41" i="1"/>
  <c r="G42" i="1"/>
  <c r="G43" i="1"/>
  <c r="F39" i="1"/>
  <c r="F40" i="1"/>
  <c r="F41" i="1"/>
  <c r="F42" i="1"/>
  <c r="F43" i="1"/>
  <c r="E39" i="1"/>
  <c r="E40" i="1"/>
  <c r="E41" i="1"/>
  <c r="E42" i="1"/>
  <c r="E43" i="1"/>
  <c r="D39" i="1"/>
  <c r="D40" i="1"/>
  <c r="D41" i="1"/>
  <c r="D42" i="1"/>
  <c r="D43" i="1"/>
  <c r="D36" i="1"/>
  <c r="H5" i="1"/>
  <c r="H6" i="1"/>
  <c r="H9" i="1"/>
  <c r="H10" i="1"/>
  <c r="H11" i="1"/>
  <c r="H12" i="1"/>
  <c r="H13" i="1"/>
  <c r="G5" i="1"/>
  <c r="G6" i="1"/>
  <c r="G9" i="1"/>
  <c r="G10" i="1"/>
  <c r="G11" i="1"/>
  <c r="G12" i="1"/>
  <c r="G13" i="1"/>
  <c r="F5" i="1"/>
  <c r="F6" i="1"/>
  <c r="F9" i="1"/>
  <c r="F10" i="1"/>
  <c r="F11" i="1"/>
  <c r="F12" i="1"/>
  <c r="F13" i="1"/>
  <c r="E5" i="1"/>
  <c r="E6" i="1"/>
  <c r="E9" i="1"/>
  <c r="E10" i="1"/>
  <c r="E11" i="1"/>
  <c r="E12" i="1"/>
  <c r="E13" i="1"/>
  <c r="D5" i="1"/>
  <c r="D6" i="1"/>
  <c r="D9" i="1"/>
  <c r="D10" i="1"/>
  <c r="D11" i="1"/>
  <c r="D12" i="1"/>
  <c r="D13" i="1"/>
  <c r="R127" i="1"/>
  <c r="R128" i="1"/>
  <c r="R131" i="1"/>
  <c r="R132" i="1"/>
  <c r="R133" i="1"/>
  <c r="R134" i="1"/>
  <c r="L127" i="1"/>
  <c r="L128" i="1"/>
  <c r="L131" i="1"/>
  <c r="L132" i="1"/>
  <c r="L133" i="1"/>
  <c r="L134" i="1"/>
  <c r="K127" i="1"/>
  <c r="K128" i="1"/>
  <c r="K131" i="1"/>
  <c r="K132" i="1"/>
  <c r="K133" i="1"/>
  <c r="K134" i="1"/>
  <c r="J127" i="1"/>
  <c r="J128" i="1"/>
  <c r="J131" i="1"/>
  <c r="J132" i="1"/>
  <c r="J133" i="1"/>
  <c r="J134" i="1"/>
  <c r="I127" i="1"/>
  <c r="I128" i="1"/>
  <c r="I131" i="1"/>
  <c r="I132" i="1"/>
  <c r="I133" i="1"/>
  <c r="I134" i="1"/>
  <c r="D127" i="1"/>
  <c r="D128" i="1"/>
  <c r="D131" i="1"/>
  <c r="D132" i="1"/>
  <c r="B134" i="1"/>
  <c r="B135" i="1"/>
  <c r="A134" i="1"/>
  <c r="A135" i="1"/>
  <c r="A37" i="1"/>
  <c r="A38" i="1"/>
  <c r="A39" i="1"/>
  <c r="A40" i="1"/>
  <c r="A41" i="1"/>
  <c r="A42" i="1"/>
  <c r="A43" i="1"/>
  <c r="A36" i="1"/>
  <c r="B127" i="1"/>
  <c r="B128" i="1"/>
  <c r="B129" i="1"/>
  <c r="B130" i="1"/>
  <c r="B131" i="1"/>
  <c r="B132" i="1"/>
  <c r="B133" i="1"/>
  <c r="A127" i="1"/>
  <c r="A128" i="1"/>
  <c r="A129" i="1"/>
  <c r="A130" i="1"/>
  <c r="A131" i="1"/>
  <c r="A132" i="1"/>
  <c r="A133" i="1"/>
  <c r="B67" i="1"/>
  <c r="B68" i="1"/>
  <c r="B69" i="1"/>
  <c r="B70" i="1"/>
  <c r="B71" i="1"/>
  <c r="A67" i="1"/>
  <c r="A68" i="1"/>
  <c r="A69" i="1"/>
  <c r="A70" i="1"/>
  <c r="A71" i="1"/>
  <c r="A72" i="1"/>
  <c r="B97" i="1"/>
  <c r="B98" i="1"/>
  <c r="B99" i="1"/>
  <c r="B100" i="1"/>
  <c r="B101" i="1"/>
  <c r="B102" i="1"/>
  <c r="B103" i="1"/>
  <c r="A97" i="1"/>
  <c r="A98" i="1"/>
  <c r="A99" i="1"/>
  <c r="A100" i="1"/>
  <c r="A101" i="1"/>
  <c r="A102" i="1"/>
  <c r="A103" i="1"/>
  <c r="B66" i="1"/>
  <c r="A66" i="1"/>
  <c r="R126" i="1"/>
  <c r="L126" i="1"/>
  <c r="K126" i="1"/>
  <c r="J126" i="1"/>
  <c r="I126" i="1"/>
  <c r="D126" i="1"/>
  <c r="B126" i="1"/>
  <c r="A126" i="1"/>
  <c r="H96" i="1"/>
  <c r="G96" i="1"/>
  <c r="F96" i="1"/>
  <c r="B96" i="1"/>
  <c r="A96" i="1"/>
  <c r="H65" i="1"/>
  <c r="H66" i="1"/>
  <c r="G65" i="1"/>
  <c r="G66" i="1"/>
  <c r="F65" i="1"/>
  <c r="F66" i="1"/>
  <c r="E65" i="1"/>
  <c r="E66" i="1"/>
  <c r="B65" i="1"/>
  <c r="A65" i="1"/>
  <c r="H34" i="1"/>
  <c r="H35" i="1"/>
  <c r="H36" i="1"/>
  <c r="G34" i="1"/>
  <c r="G35" i="1"/>
  <c r="G36" i="1"/>
  <c r="F34" i="1"/>
  <c r="F35" i="1"/>
  <c r="F36" i="1"/>
  <c r="E34" i="1"/>
  <c r="E35" i="1"/>
  <c r="E36" i="1"/>
  <c r="D34" i="1"/>
  <c r="D35" i="1"/>
  <c r="H4" i="1"/>
  <c r="G4" i="1"/>
  <c r="F4" i="1"/>
  <c r="E4" i="1"/>
  <c r="D4" i="1"/>
  <c r="B95" i="1"/>
  <c r="B94" i="1"/>
  <c r="A95" i="1"/>
  <c r="F32" i="1"/>
  <c r="B125" i="1"/>
  <c r="B124" i="1"/>
  <c r="A125" i="1"/>
  <c r="A94" i="1"/>
  <c r="A124" i="1" s="1"/>
  <c r="B64" i="1"/>
  <c r="B63" i="1"/>
  <c r="B33" i="1"/>
  <c r="B32" i="1"/>
  <c r="A64" i="1"/>
  <c r="A33" i="1"/>
  <c r="A32" i="1"/>
  <c r="R125" i="1"/>
  <c r="R124" i="1"/>
  <c r="L125" i="1"/>
  <c r="L124" i="1"/>
  <c r="K125" i="1"/>
  <c r="K124" i="1"/>
  <c r="J125" i="1"/>
  <c r="J124" i="1"/>
  <c r="I125" i="1"/>
  <c r="I124" i="1"/>
  <c r="D125" i="1"/>
  <c r="D124" i="1"/>
  <c r="D32" i="1"/>
  <c r="H95" i="1"/>
  <c r="G95" i="1"/>
  <c r="F95" i="1"/>
  <c r="H94" i="1"/>
  <c r="G94" i="1"/>
  <c r="F94" i="1"/>
  <c r="E94" i="1"/>
  <c r="D94" i="1"/>
  <c r="H64" i="1"/>
  <c r="G64" i="1"/>
  <c r="F64" i="1"/>
  <c r="E64" i="1"/>
  <c r="H63" i="1"/>
  <c r="G63" i="1"/>
  <c r="F63" i="1"/>
  <c r="E63" i="1"/>
  <c r="H33" i="1"/>
  <c r="G33" i="1"/>
  <c r="F33" i="1"/>
  <c r="E33" i="1"/>
  <c r="J33" i="1" s="1"/>
  <c r="D33" i="1"/>
  <c r="H32" i="1"/>
  <c r="G32" i="1"/>
  <c r="E32" i="1"/>
  <c r="H3" i="1"/>
  <c r="G3" i="1"/>
  <c r="G2" i="1"/>
  <c r="F3" i="1"/>
  <c r="F2" i="1"/>
  <c r="E3" i="1"/>
  <c r="D3" i="1"/>
  <c r="AA8" i="5" l="1"/>
  <c r="AA16" i="5"/>
  <c r="AA17" i="5"/>
  <c r="AA9" i="5"/>
  <c r="AA4" i="5"/>
  <c r="U22" i="4"/>
  <c r="U16" i="4"/>
  <c r="U24" i="4"/>
  <c r="U2" i="4"/>
  <c r="C20" i="3"/>
  <c r="C6" i="3"/>
  <c r="C5" i="3"/>
  <c r="C4" i="3"/>
  <c r="C3" i="3"/>
  <c r="C15" i="3"/>
  <c r="C14" i="3"/>
  <c r="C13" i="3"/>
  <c r="C2" i="3"/>
  <c r="C11" i="3"/>
  <c r="C23" i="3"/>
  <c r="C10" i="3"/>
  <c r="C22" i="3"/>
  <c r="C7" i="3"/>
  <c r="C19" i="3"/>
  <c r="C18" i="3"/>
  <c r="C12" i="3"/>
  <c r="C9" i="3"/>
  <c r="K6" i="2"/>
  <c r="F6" i="2"/>
  <c r="F3" i="2"/>
  <c r="K9" i="2"/>
  <c r="F10" i="2"/>
  <c r="K8" i="2"/>
  <c r="F9" i="2"/>
  <c r="O15" i="2"/>
  <c r="F13" i="2"/>
  <c r="F21" i="2"/>
  <c r="K14" i="2"/>
  <c r="K10" i="2"/>
  <c r="F14" i="2"/>
  <c r="O8" i="2"/>
  <c r="S18" i="2"/>
  <c r="K15" i="2"/>
  <c r="K20" i="2"/>
  <c r="U23" i="4"/>
  <c r="U25" i="4"/>
  <c r="AA18" i="5"/>
  <c r="AA6" i="5"/>
  <c r="U20" i="4"/>
  <c r="U15" i="4"/>
  <c r="U14" i="4"/>
  <c r="U8" i="4"/>
  <c r="U3" i="4"/>
  <c r="U11" i="4"/>
  <c r="U9" i="4"/>
  <c r="U4" i="4"/>
  <c r="U10" i="4"/>
  <c r="U6" i="4"/>
  <c r="I4" i="1"/>
  <c r="D4" i="2" s="1"/>
  <c r="F4" i="2" s="1"/>
  <c r="M142" i="1"/>
  <c r="P142" i="1" s="1"/>
  <c r="Q141" i="1"/>
  <c r="P141" i="1"/>
  <c r="O141" i="1"/>
  <c r="N141" i="1"/>
  <c r="N140" i="1"/>
  <c r="N139" i="1"/>
  <c r="D17" i="3" s="1"/>
  <c r="O140" i="1"/>
  <c r="M145" i="1"/>
  <c r="P140" i="1"/>
  <c r="P139" i="1"/>
  <c r="F17" i="3" s="1"/>
  <c r="N142" i="1"/>
  <c r="Q142" i="1"/>
  <c r="L115" i="1"/>
  <c r="J115" i="1"/>
  <c r="M115" i="1" s="1"/>
  <c r="K115" i="1"/>
  <c r="L111" i="1"/>
  <c r="K112" i="1"/>
  <c r="K109" i="1"/>
  <c r="K111" i="1"/>
  <c r="L110" i="1"/>
  <c r="K110" i="1"/>
  <c r="J81" i="1"/>
  <c r="M81" i="1" s="1"/>
  <c r="K81" i="1"/>
  <c r="L81" i="1"/>
  <c r="L80" i="1"/>
  <c r="J80" i="1"/>
  <c r="M80" i="1" s="1"/>
  <c r="I80" i="1"/>
  <c r="J79" i="1"/>
  <c r="M79" i="1" s="1"/>
  <c r="K79" i="1"/>
  <c r="I79" i="1"/>
  <c r="I78" i="1"/>
  <c r="J78" i="1"/>
  <c r="M78" i="1" s="1"/>
  <c r="L78" i="1"/>
  <c r="K47" i="1"/>
  <c r="L50" i="1"/>
  <c r="L47" i="1"/>
  <c r="J50" i="1"/>
  <c r="M50" i="1" s="1"/>
  <c r="I49" i="1"/>
  <c r="L49" i="1"/>
  <c r="L48" i="1"/>
  <c r="J48" i="1"/>
  <c r="M48" i="1" s="1"/>
  <c r="I48" i="1"/>
  <c r="I47" i="1"/>
  <c r="K49" i="1"/>
  <c r="K48" i="1"/>
  <c r="K50" i="1"/>
  <c r="K46" i="1"/>
  <c r="J108" i="1"/>
  <c r="M108" i="1" s="1"/>
  <c r="I72" i="1"/>
  <c r="I13" i="1"/>
  <c r="I70" i="1"/>
  <c r="L20" i="1"/>
  <c r="J41" i="1"/>
  <c r="M41" i="1" s="1"/>
  <c r="L9" i="1"/>
  <c r="J46" i="1"/>
  <c r="M46" i="1" s="1"/>
  <c r="L6" i="1"/>
  <c r="I6" i="1"/>
  <c r="J10" i="1"/>
  <c r="M10" i="1" s="1"/>
  <c r="I43" i="1"/>
  <c r="K16" i="1"/>
  <c r="I77" i="1"/>
  <c r="I5" i="1"/>
  <c r="D5" i="2" s="1"/>
  <c r="F5" i="2" s="1"/>
  <c r="L5" i="1"/>
  <c r="L67" i="1"/>
  <c r="I39" i="1"/>
  <c r="K12" i="1"/>
  <c r="K77" i="1"/>
  <c r="K6" i="1"/>
  <c r="K72" i="1"/>
  <c r="K71" i="1"/>
  <c r="K9" i="1"/>
  <c r="L74" i="1"/>
  <c r="J13" i="1"/>
  <c r="M13" i="1" s="1"/>
  <c r="I9" i="1"/>
  <c r="K5" i="1"/>
  <c r="L66" i="1"/>
  <c r="L13" i="1"/>
  <c r="J6" i="1"/>
  <c r="M6" i="1" s="1"/>
  <c r="L12" i="1"/>
  <c r="J39" i="1"/>
  <c r="M39" i="1" s="1"/>
  <c r="J70" i="1"/>
  <c r="M70" i="1" s="1"/>
  <c r="K70" i="1"/>
  <c r="K10" i="1"/>
  <c r="J72" i="1"/>
  <c r="M72" i="1" s="1"/>
  <c r="J71" i="1"/>
  <c r="M71" i="1" s="1"/>
  <c r="M138" i="1"/>
  <c r="K4" i="1"/>
  <c r="J5" i="1"/>
  <c r="M5" i="1" s="1"/>
  <c r="L11" i="1"/>
  <c r="I42" i="1"/>
  <c r="K11" i="1"/>
  <c r="K13" i="1"/>
  <c r="L10" i="1"/>
  <c r="J12" i="1"/>
  <c r="M12" i="1" s="1"/>
  <c r="I74" i="1"/>
  <c r="J4" i="1"/>
  <c r="M4" i="1" s="1"/>
  <c r="I11" i="1"/>
  <c r="I10" i="1"/>
  <c r="J9" i="1"/>
  <c r="M9" i="1" s="1"/>
  <c r="J74" i="1"/>
  <c r="M74" i="1" s="1"/>
  <c r="K74" i="1"/>
  <c r="J40" i="1"/>
  <c r="M40" i="1" s="1"/>
  <c r="L70" i="1"/>
  <c r="J77" i="1"/>
  <c r="M77" i="1" s="1"/>
  <c r="I12" i="1"/>
  <c r="J105" i="1"/>
  <c r="M105" i="1" s="1"/>
  <c r="L36" i="1"/>
  <c r="J11" i="1"/>
  <c r="M11" i="1" s="1"/>
  <c r="I20" i="1"/>
  <c r="L39" i="1"/>
  <c r="J18" i="1"/>
  <c r="M18" i="1" s="1"/>
  <c r="J20" i="1"/>
  <c r="M20" i="1" s="1"/>
  <c r="J19" i="1"/>
  <c r="M19" i="1" s="1"/>
  <c r="L19" i="1"/>
  <c r="K20" i="1"/>
  <c r="K19" i="1"/>
  <c r="I19" i="1"/>
  <c r="K18" i="1"/>
  <c r="L17" i="1"/>
  <c r="L18" i="1"/>
  <c r="I18" i="1"/>
  <c r="I17" i="1"/>
  <c r="J17" i="1"/>
  <c r="M17" i="1" s="1"/>
  <c r="K17" i="1"/>
  <c r="J16" i="1"/>
  <c r="M16" i="1" s="1"/>
  <c r="L108" i="1"/>
  <c r="K108" i="1"/>
  <c r="L77" i="1"/>
  <c r="L46" i="1"/>
  <c r="I46" i="1"/>
  <c r="L16" i="1"/>
  <c r="M135" i="1"/>
  <c r="O135" i="1" s="1"/>
  <c r="M134" i="1"/>
  <c r="P134" i="1" s="1"/>
  <c r="M133" i="1"/>
  <c r="P133" i="1" s="1"/>
  <c r="M131" i="1"/>
  <c r="P131" i="1" s="1"/>
  <c r="M132" i="1"/>
  <c r="P132" i="1" s="1"/>
  <c r="M128" i="1"/>
  <c r="O128" i="1" s="1"/>
  <c r="M127" i="1"/>
  <c r="P127" i="1" s="1"/>
  <c r="K105" i="1"/>
  <c r="L105" i="1"/>
  <c r="L104" i="1"/>
  <c r="L103" i="1"/>
  <c r="L102" i="1"/>
  <c r="L101" i="1"/>
  <c r="J104" i="1"/>
  <c r="M104" i="1" s="1"/>
  <c r="K104" i="1"/>
  <c r="K103" i="1"/>
  <c r="J103" i="1"/>
  <c r="M103" i="1" s="1"/>
  <c r="J101" i="1"/>
  <c r="M101" i="1" s="1"/>
  <c r="J102" i="1"/>
  <c r="M102" i="1" s="1"/>
  <c r="K102" i="1"/>
  <c r="K101" i="1"/>
  <c r="K97" i="1"/>
  <c r="K98" i="1"/>
  <c r="J98" i="1"/>
  <c r="M98" i="1" s="1"/>
  <c r="L98" i="1"/>
  <c r="L97" i="1"/>
  <c r="J97" i="1"/>
  <c r="M97" i="1" s="1"/>
  <c r="L72" i="1"/>
  <c r="L71" i="1"/>
  <c r="L73" i="1"/>
  <c r="K73" i="1"/>
  <c r="J73" i="1"/>
  <c r="M73" i="1" s="1"/>
  <c r="I71" i="1"/>
  <c r="K67" i="1"/>
  <c r="I67" i="1"/>
  <c r="J67" i="1"/>
  <c r="M67" i="1" s="1"/>
  <c r="K39" i="1"/>
  <c r="L43" i="1"/>
  <c r="L42" i="1"/>
  <c r="J43" i="1"/>
  <c r="M43" i="1" s="1"/>
  <c r="J42" i="1"/>
  <c r="M42" i="1" s="1"/>
  <c r="K42" i="1"/>
  <c r="K41" i="1"/>
  <c r="I41" i="1"/>
  <c r="L41" i="1"/>
  <c r="K40" i="1"/>
  <c r="I40" i="1"/>
  <c r="L40" i="1"/>
  <c r="I36" i="1"/>
  <c r="J36" i="1"/>
  <c r="M36" i="1" s="1"/>
  <c r="K36" i="1"/>
  <c r="M126" i="1"/>
  <c r="K66" i="1"/>
  <c r="I66" i="1"/>
  <c r="J66" i="1"/>
  <c r="M66" i="1" s="1"/>
  <c r="K35" i="1"/>
  <c r="L35" i="1"/>
  <c r="J35" i="1"/>
  <c r="M35" i="1" s="1"/>
  <c r="I35" i="1"/>
  <c r="L4" i="1"/>
  <c r="L96" i="1"/>
  <c r="J96" i="1"/>
  <c r="M96" i="1" s="1"/>
  <c r="K96" i="1"/>
  <c r="L65" i="1"/>
  <c r="I65" i="1"/>
  <c r="K65" i="1"/>
  <c r="J65" i="1"/>
  <c r="M65" i="1" s="1"/>
  <c r="K34" i="1"/>
  <c r="J34" i="1"/>
  <c r="M34" i="1" s="1"/>
  <c r="L34" i="1"/>
  <c r="I34" i="1"/>
  <c r="I94" i="1"/>
  <c r="K2" i="1"/>
  <c r="L2" i="1"/>
  <c r="M124" i="1"/>
  <c r="Q124" i="1" s="1"/>
  <c r="M125" i="1"/>
  <c r="N125" i="1" s="1"/>
  <c r="J94" i="1"/>
  <c r="M94" i="1" s="1"/>
  <c r="J95" i="1"/>
  <c r="M95" i="1" s="1"/>
  <c r="L94" i="1"/>
  <c r="K95" i="1"/>
  <c r="L95" i="1"/>
  <c r="K94" i="1"/>
  <c r="L64" i="1"/>
  <c r="I64" i="1"/>
  <c r="J64" i="1"/>
  <c r="M64" i="1" s="1"/>
  <c r="K64" i="1"/>
  <c r="L63" i="1"/>
  <c r="K63" i="1"/>
  <c r="J63" i="1"/>
  <c r="M63" i="1" s="1"/>
  <c r="I63" i="1"/>
  <c r="I33" i="1"/>
  <c r="M33" i="1"/>
  <c r="L33" i="1"/>
  <c r="L32" i="1"/>
  <c r="J32" i="1"/>
  <c r="M32" i="1" s="1"/>
  <c r="I32" i="1"/>
  <c r="K33" i="1"/>
  <c r="K32" i="1"/>
  <c r="K3" i="1"/>
  <c r="J3" i="1"/>
  <c r="M3" i="1" s="1"/>
  <c r="L3" i="1"/>
  <c r="O138" i="1" l="1"/>
  <c r="E16" i="3" s="1"/>
  <c r="N138" i="1"/>
  <c r="D16" i="3" s="1"/>
  <c r="C17" i="3"/>
  <c r="O142" i="1"/>
  <c r="Q145" i="1"/>
  <c r="P145" i="1"/>
  <c r="O145" i="1"/>
  <c r="N145" i="1"/>
  <c r="N133" i="1"/>
  <c r="O127" i="1"/>
  <c r="Q128" i="1"/>
  <c r="P128" i="1"/>
  <c r="O134" i="1"/>
  <c r="N134" i="1"/>
  <c r="O133" i="1"/>
  <c r="P138" i="1"/>
  <c r="F16" i="3" s="1"/>
  <c r="Q127" i="1"/>
  <c r="Q138" i="1"/>
  <c r="G16" i="3" s="1"/>
  <c r="N127" i="1"/>
  <c r="N132" i="1"/>
  <c r="Q134" i="1"/>
  <c r="N124" i="1"/>
  <c r="P124" i="1"/>
  <c r="P135" i="1"/>
  <c r="N135" i="1"/>
  <c r="Q135" i="1"/>
  <c r="Q133" i="1"/>
  <c r="Q131" i="1"/>
  <c r="N131" i="1"/>
  <c r="O131" i="1"/>
  <c r="Q132" i="1"/>
  <c r="O132" i="1"/>
  <c r="N128" i="1"/>
  <c r="P126" i="1"/>
  <c r="O126" i="1"/>
  <c r="Q126" i="1"/>
  <c r="N126" i="1"/>
  <c r="O125" i="1"/>
  <c r="O124" i="1"/>
  <c r="Q125" i="1"/>
  <c r="P125" i="1"/>
  <c r="E2" i="1"/>
  <c r="J2" i="1" s="1"/>
  <c r="M2" i="1" s="1"/>
  <c r="D2" i="1"/>
  <c r="I2" i="1" s="1"/>
  <c r="C16" i="3" l="1"/>
</calcChain>
</file>

<file path=xl/sharedStrings.xml><?xml version="1.0" encoding="utf-8"?>
<sst xmlns="http://schemas.openxmlformats.org/spreadsheetml/2006/main" count="866" uniqueCount="135">
  <si>
    <t xml:space="preserve">Date </t>
  </si>
  <si>
    <t>Time</t>
  </si>
  <si>
    <t>Compressor</t>
  </si>
  <si>
    <t>Load time</t>
  </si>
  <si>
    <t>Unload time</t>
  </si>
  <si>
    <t>Stop time</t>
  </si>
  <si>
    <t>Fault time</t>
  </si>
  <si>
    <t>load%</t>
  </si>
  <si>
    <t>unload%</t>
  </si>
  <si>
    <t>Availabilty%</t>
  </si>
  <si>
    <t>Fault%</t>
  </si>
  <si>
    <t>efficency remark</t>
  </si>
  <si>
    <t>Run time</t>
  </si>
  <si>
    <t xml:space="preserve">cumulative run </t>
  </si>
  <si>
    <t>Cummulative unload</t>
  </si>
  <si>
    <t>Cummulative load</t>
  </si>
  <si>
    <t>Cumulative stop</t>
  </si>
  <si>
    <t>Cumulative Fault</t>
  </si>
  <si>
    <t>C1</t>
  </si>
  <si>
    <t>C2</t>
  </si>
  <si>
    <t>C3</t>
  </si>
  <si>
    <t>C4</t>
  </si>
  <si>
    <t>Main compressor reading</t>
  </si>
  <si>
    <t>Main  panel interval</t>
  </si>
  <si>
    <t>Total Compressor</t>
  </si>
  <si>
    <t>C1%</t>
  </si>
  <si>
    <t>C2%</t>
  </si>
  <si>
    <t>C3%</t>
  </si>
  <si>
    <t>C4%</t>
  </si>
  <si>
    <t>System Remark</t>
  </si>
  <si>
    <t>C1 Cummulaive</t>
  </si>
  <si>
    <t>C2 cummulative</t>
  </si>
  <si>
    <t>C3 Cummulative</t>
  </si>
  <si>
    <t>C4 Cumulative</t>
  </si>
  <si>
    <t>03.06.2026</t>
  </si>
  <si>
    <t>03.06.26</t>
  </si>
  <si>
    <t>10.00AM</t>
  </si>
  <si>
    <t>04.06.2026</t>
  </si>
  <si>
    <t>05.06.2026</t>
  </si>
  <si>
    <t>06.06.2026</t>
  </si>
  <si>
    <t>07.06.2026</t>
  </si>
  <si>
    <t>08.06.2026</t>
  </si>
  <si>
    <t>09.06.2026</t>
  </si>
  <si>
    <t>10.06.2026</t>
  </si>
  <si>
    <t>11.06.2026</t>
  </si>
  <si>
    <t>12.06.2026</t>
  </si>
  <si>
    <t>15.06.2026</t>
  </si>
  <si>
    <t>13.06.2026</t>
  </si>
  <si>
    <t>14.06.2026</t>
  </si>
  <si>
    <t>10.00.00</t>
  </si>
  <si>
    <t>15.06.202610.00.00</t>
  </si>
  <si>
    <t>16.06.2026</t>
  </si>
  <si>
    <t>17.06.2026</t>
  </si>
  <si>
    <t>18.06.2026</t>
  </si>
  <si>
    <t>19.06.2026</t>
  </si>
  <si>
    <t>10.00 AM</t>
  </si>
  <si>
    <t>20.06.2026</t>
  </si>
  <si>
    <t>21.06.2026</t>
  </si>
  <si>
    <t>22.06.2026</t>
  </si>
  <si>
    <t>HOW TO CALCULATE =</t>
  </si>
  <si>
    <t>22.03.2026</t>
  </si>
  <si>
    <t>COMPRESSOR</t>
  </si>
  <si>
    <t>LOAD %</t>
  </si>
  <si>
    <t>UNLOAD%</t>
  </si>
  <si>
    <t>TOTAL %</t>
  </si>
  <si>
    <t>LOAD%</t>
  </si>
  <si>
    <t>TOTAL%</t>
  </si>
  <si>
    <t>COMPREESOR</t>
  </si>
  <si>
    <t>MV PANEL 2</t>
  </si>
  <si>
    <t>CPS</t>
  </si>
  <si>
    <t>OVEN</t>
  </si>
  <si>
    <t>SSB1</t>
  </si>
  <si>
    <t>SSB2</t>
  </si>
  <si>
    <t>SSB3</t>
  </si>
  <si>
    <t>SSB4</t>
  </si>
  <si>
    <t>SSB5</t>
  </si>
  <si>
    <t>MLSB</t>
  </si>
  <si>
    <t>AMF</t>
  </si>
  <si>
    <t>TOTAL</t>
  </si>
  <si>
    <t>MV PANEL 1 CUMMLAIVE</t>
  </si>
  <si>
    <t>MV PANEL 2 CUMMULATIVE</t>
  </si>
  <si>
    <t>SR FURNANCE CMMULATIVE</t>
  </si>
  <si>
    <t>CPS CUMMULATIVE</t>
  </si>
  <si>
    <t>OVEN CUMMULATIVE</t>
  </si>
  <si>
    <t>AMF CUMMULATIVE</t>
  </si>
  <si>
    <t>MV PANEL 1</t>
  </si>
  <si>
    <t>SR FUNANCE</t>
  </si>
  <si>
    <t>MV PANEL 2%</t>
  </si>
  <si>
    <t>SR FUNANCE%</t>
  </si>
  <si>
    <t>CPS%</t>
  </si>
  <si>
    <t>OVEN%</t>
  </si>
  <si>
    <t>AMF%</t>
  </si>
  <si>
    <t>SSB1 CUMMULATIVE</t>
  </si>
  <si>
    <t>SSB2 CUMMULATIVE</t>
  </si>
  <si>
    <t>SSB3 CUMMULATIVE</t>
  </si>
  <si>
    <t>SSB4 CUMMULATIVE</t>
  </si>
  <si>
    <t>SSB5 CUMMULATIVE</t>
  </si>
  <si>
    <t>COMPRESSOR CUMMULATIVE</t>
  </si>
  <si>
    <t>MLSB CUMMULATIVE</t>
  </si>
  <si>
    <t>COMPRESSSOR</t>
  </si>
  <si>
    <t>SSB1%</t>
  </si>
  <si>
    <t>SSB2%</t>
  </si>
  <si>
    <t>SSB3%</t>
  </si>
  <si>
    <t>SSB4%</t>
  </si>
  <si>
    <t>SSB5%</t>
  </si>
  <si>
    <t>COMPR%</t>
  </si>
  <si>
    <t>MLSB%</t>
  </si>
  <si>
    <t>COMPREEESOR%</t>
  </si>
  <si>
    <t>BAY NAME</t>
  </si>
  <si>
    <t>APPLICATION</t>
  </si>
  <si>
    <t>CFM</t>
  </si>
  <si>
    <t>COUNT</t>
  </si>
  <si>
    <t>TOTAL CFM</t>
  </si>
  <si>
    <t>Grit blasting machine [Big]</t>
  </si>
  <si>
    <t>Grit blasting machine [Small-1]</t>
  </si>
  <si>
    <t>Grit blasting machine [Assembly]</t>
  </si>
  <si>
    <t>2KE Paint mixing plant</t>
  </si>
  <si>
    <t>2KS Paint mixing plant</t>
  </si>
  <si>
    <t>1/2 -Inch cleaning hose</t>
  </si>
  <si>
    <t>Paint boooth /Sanding booth</t>
  </si>
  <si>
    <t>Dust collector [12 S/v]</t>
  </si>
  <si>
    <t>Dust collector [18 s/v]</t>
  </si>
  <si>
    <t>spray paint gun</t>
  </si>
  <si>
    <t xml:space="preserve">spares </t>
  </si>
  <si>
    <t>Dummy</t>
  </si>
  <si>
    <t>overall</t>
  </si>
  <si>
    <t>BAY 8</t>
  </si>
  <si>
    <t>Welding</t>
  </si>
  <si>
    <t>Pneumatic impact wrench 1/2-Inch</t>
  </si>
  <si>
    <t>Laser cutting machine</t>
  </si>
  <si>
    <t>Spares</t>
  </si>
  <si>
    <t>BAY 7</t>
  </si>
  <si>
    <t>BAY 5</t>
  </si>
  <si>
    <t>02.06.2026</t>
  </si>
  <si>
    <t>01.06.2026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</si>
</sst>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6" formatCode="[$-14009]dd/mm/yyyy;@"/>
    <numFmt numFmtId="168" formatCode="[$-14009]h:mm:ss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0" borderId="0" xfId="0" applyAlignment="1">
      <alignment horizontal="center" vertical="center"/>
    </xf>
    <xf numFmtId="166" fontId="0" fillId="0" borderId="0" xfId="0" applyNumberFormat="1"/>
    <xf numFmtId="166" fontId="0" fillId="2" borderId="0" xfId="0" applyNumberFormat="1" applyFill="1"/>
    <xf numFmtId="166" fontId="0" fillId="3" borderId="0" xfId="0" applyNumberFormat="1" applyFill="1"/>
    <xf numFmtId="168" fontId="0" fillId="0" borderId="0" xfId="0" applyNumberFormat="1"/>
    <xf numFmtId="168" fontId="0" fillId="2" borderId="0" xfId="0" applyNumberFormat="1" applyFill="1"/>
    <xf numFmtId="168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6EA4A-BFE7-4A00-B5ED-C2575B0FEEA5}">
  <dimension ref="A1:R145"/>
  <sheetViews>
    <sheetView zoomScale="85" zoomScaleNormal="55" workbookViewId="0">
      <selection sqref="A1:B1048576"/>
    </sheetView>
  </sheetViews>
  <sheetFormatPr defaultRowHeight="14.4" x14ac:dyDescent="0.3"/>
  <cols>
    <col min="1" max="1" width="16.88671875" style="23" customWidth="1"/>
    <col min="2" max="2" width="8.88671875" style="2"/>
    <col min="3" max="3" width="23.109375" customWidth="1"/>
    <col min="4" max="4" width="19.109375" customWidth="1"/>
    <col min="5" max="5" width="14.5546875" customWidth="1"/>
    <col min="6" max="6" width="15" customWidth="1"/>
    <col min="7" max="7" width="18.6640625" customWidth="1"/>
    <col min="8" max="8" width="13.88671875" customWidth="1"/>
    <col min="9" max="9" width="18.44140625" customWidth="1"/>
    <col min="10" max="10" width="11.5546875" customWidth="1"/>
    <col min="11" max="11" width="17" customWidth="1"/>
    <col min="12" max="12" width="14.88671875" customWidth="1"/>
    <col min="13" max="13" width="17.109375" customWidth="1"/>
    <col min="14" max="14" width="18.88671875" customWidth="1"/>
    <col min="15" max="15" width="18.6640625" customWidth="1"/>
    <col min="16" max="16" width="13.33203125" customWidth="1"/>
    <col min="17" max="17" width="15.21875" customWidth="1"/>
    <col min="18" max="18" width="16.88671875" customWidth="1"/>
  </cols>
  <sheetData>
    <row r="1" spans="1:18" x14ac:dyDescent="0.3">
      <c r="A1" s="23" t="s">
        <v>0</v>
      </c>
      <c r="B1" s="2" t="s">
        <v>1</v>
      </c>
      <c r="C1" s="1" t="s">
        <v>2</v>
      </c>
      <c r="D1" t="s">
        <v>3</v>
      </c>
      <c r="E1" t="s">
        <v>4</v>
      </c>
      <c r="F1" t="s">
        <v>12</v>
      </c>
      <c r="G1" t="s">
        <v>5</v>
      </c>
      <c r="H1" t="s">
        <v>6</v>
      </c>
      <c r="I1" s="1" t="s">
        <v>7</v>
      </c>
      <c r="J1" t="s">
        <v>8</v>
      </c>
      <c r="K1" t="s">
        <v>9</v>
      </c>
      <c r="L1" t="s">
        <v>10</v>
      </c>
      <c r="M1" t="s">
        <v>11</v>
      </c>
      <c r="N1" t="s">
        <v>15</v>
      </c>
      <c r="O1" t="s">
        <v>14</v>
      </c>
      <c r="P1" t="s">
        <v>13</v>
      </c>
      <c r="Q1" t="s">
        <v>16</v>
      </c>
      <c r="R1" t="s">
        <v>17</v>
      </c>
    </row>
    <row r="2" spans="1:18" x14ac:dyDescent="0.3">
      <c r="A2" s="23" t="s">
        <v>134</v>
      </c>
      <c r="B2" s="2">
        <v>0.41666666666666669</v>
      </c>
      <c r="C2" t="s">
        <v>18</v>
      </c>
      <c r="D2">
        <f>N3-N2</f>
        <v>23.849999999998545</v>
      </c>
      <c r="E2">
        <f>O3-O2</f>
        <v>0.12999999999738066</v>
      </c>
      <c r="F2">
        <f>P3-P2</f>
        <v>23.979999999995925</v>
      </c>
      <c r="G2">
        <f>+Q3-Q2</f>
        <v>0</v>
      </c>
      <c r="I2">
        <f>(D2/F2)*100</f>
        <v>99.457881567984145</v>
      </c>
      <c r="J2">
        <f t="shared" ref="J2:J23" si="0">(E2/F2)*100</f>
        <v>0.54211843201585797</v>
      </c>
      <c r="K2">
        <f>(F2/(F2+G2+H2)*100)</f>
        <v>100</v>
      </c>
      <c r="L2">
        <f>(H2/(F2+G2+H2))*100</f>
        <v>0</v>
      </c>
      <c r="M2" t="str">
        <f>IF(J2&gt;40,"High Unload Loss","Efficient")</f>
        <v>Efficient</v>
      </c>
      <c r="N2">
        <v>30634.5</v>
      </c>
      <c r="O2">
        <v>27173.13</v>
      </c>
      <c r="P2">
        <v>57808.04</v>
      </c>
      <c r="Q2">
        <v>3027.05</v>
      </c>
      <c r="R2">
        <v>353.07</v>
      </c>
    </row>
    <row r="3" spans="1:18" x14ac:dyDescent="0.3">
      <c r="A3" s="23" t="s">
        <v>133</v>
      </c>
      <c r="B3" s="2">
        <v>0.41666666666666669</v>
      </c>
      <c r="C3" t="s">
        <v>18</v>
      </c>
      <c r="D3">
        <f t="shared" ref="D3:D23" si="1">N4-N3</f>
        <v>23.210000000002765</v>
      </c>
      <c r="E3">
        <f>O4-O3</f>
        <v>0.13000000000101863</v>
      </c>
      <c r="F3">
        <f t="shared" ref="F3:F23" si="2">P4-P3</f>
        <v>23.360000000000582</v>
      </c>
      <c r="G3">
        <f t="shared" ref="G3:G23" si="3">+Q4-Q3</f>
        <v>0</v>
      </c>
      <c r="H3">
        <f t="shared" ref="H3:H23" si="4">R4-R3</f>
        <v>0</v>
      </c>
      <c r="I3">
        <f>(D3/F3)*100</f>
        <v>99.357876712338125</v>
      </c>
      <c r="J3">
        <f t="shared" si="0"/>
        <v>0.5565068493194153</v>
      </c>
      <c r="K3">
        <f t="shared" ref="K3" si="5">(F3/(F3+G3+H3)*100)</f>
        <v>100</v>
      </c>
      <c r="L3">
        <f t="shared" ref="L3:L23" si="6">(H3/(F3+G3+H3))*100</f>
        <v>0</v>
      </c>
      <c r="M3" t="str">
        <f t="shared" ref="M3:M23" si="7">IF(J3&gt;40,"High Unload Loss","Efficient")</f>
        <v>Efficient</v>
      </c>
      <c r="N3">
        <v>30658.35</v>
      </c>
      <c r="O3">
        <v>27173.26</v>
      </c>
      <c r="P3">
        <v>57832.02</v>
      </c>
      <c r="Q3">
        <v>3027.05</v>
      </c>
      <c r="R3">
        <v>353.07</v>
      </c>
    </row>
    <row r="4" spans="1:18" x14ac:dyDescent="0.3">
      <c r="A4" s="23" t="s">
        <v>34</v>
      </c>
      <c r="B4" s="2">
        <v>0.41666666666666669</v>
      </c>
      <c r="C4" t="s">
        <v>18</v>
      </c>
      <c r="D4">
        <f t="shared" si="1"/>
        <v>22.539999999997235</v>
      </c>
      <c r="E4">
        <f>O5-O4</f>
        <v>9.0000000000145519E-2</v>
      </c>
      <c r="F4">
        <f t="shared" si="2"/>
        <v>23.200000000004366</v>
      </c>
      <c r="G4">
        <f t="shared" si="3"/>
        <v>0</v>
      </c>
      <c r="H4">
        <f t="shared" si="4"/>
        <v>0</v>
      </c>
      <c r="I4">
        <f>(D4/F4)*100</f>
        <v>97.155172413762898</v>
      </c>
      <c r="J4">
        <f t="shared" si="0"/>
        <v>0.38793103448331284</v>
      </c>
      <c r="K4">
        <f>(F4/(F4+G4+H4)*100)</f>
        <v>100</v>
      </c>
      <c r="L4">
        <f t="shared" si="6"/>
        <v>0</v>
      </c>
      <c r="M4" t="str">
        <f t="shared" si="7"/>
        <v>Efficient</v>
      </c>
      <c r="N4">
        <v>30681.56</v>
      </c>
      <c r="O4">
        <v>27173.39</v>
      </c>
      <c r="P4">
        <v>57855.38</v>
      </c>
      <c r="Q4">
        <v>3027.05</v>
      </c>
      <c r="R4">
        <v>353.07</v>
      </c>
    </row>
    <row r="5" spans="1:18" x14ac:dyDescent="0.3">
      <c r="A5" s="23" t="s">
        <v>37</v>
      </c>
      <c r="B5" s="2">
        <v>0.41666666666666669</v>
      </c>
      <c r="C5" t="s">
        <v>18</v>
      </c>
      <c r="D5">
        <f t="shared" si="1"/>
        <v>19.350000000002183</v>
      </c>
      <c r="E5">
        <f t="shared" ref="E5:E23" si="8">O6-O5</f>
        <v>8.000000000174623E-2</v>
      </c>
      <c r="F5">
        <f t="shared" si="2"/>
        <v>19.830000000001746</v>
      </c>
      <c r="G5">
        <f t="shared" si="3"/>
        <v>0</v>
      </c>
      <c r="H5">
        <f t="shared" si="4"/>
        <v>0</v>
      </c>
      <c r="I5">
        <f t="shared" ref="I5:I23" si="9">(D5/F5)*100</f>
        <v>97.579425113466868</v>
      </c>
      <c r="J5">
        <f t="shared" si="0"/>
        <v>0.40342914776469579</v>
      </c>
      <c r="K5">
        <f t="shared" ref="K5:K23" si="10">(F5/(F5+G5+H5)*100)</f>
        <v>100</v>
      </c>
      <c r="L5">
        <f t="shared" si="6"/>
        <v>0</v>
      </c>
      <c r="M5" t="str">
        <f t="shared" si="7"/>
        <v>Efficient</v>
      </c>
      <c r="N5">
        <v>30704.1</v>
      </c>
      <c r="O5">
        <v>27173.48</v>
      </c>
      <c r="P5">
        <v>57878.58</v>
      </c>
      <c r="Q5">
        <v>3027.05</v>
      </c>
      <c r="R5">
        <v>353.07</v>
      </c>
    </row>
    <row r="6" spans="1:18" x14ac:dyDescent="0.3">
      <c r="A6" s="23" t="s">
        <v>38</v>
      </c>
      <c r="B6" s="2">
        <v>0.41666666666666669</v>
      </c>
      <c r="C6" t="s">
        <v>18</v>
      </c>
      <c r="D6">
        <f t="shared" si="1"/>
        <v>-30723.45</v>
      </c>
      <c r="E6">
        <f t="shared" si="8"/>
        <v>-27173.56</v>
      </c>
      <c r="F6">
        <f t="shared" si="2"/>
        <v>-57898.41</v>
      </c>
      <c r="G6">
        <f t="shared" si="3"/>
        <v>-3027.05</v>
      </c>
      <c r="H6">
        <f t="shared" si="4"/>
        <v>-353.07</v>
      </c>
      <c r="I6">
        <f t="shared" si="9"/>
        <v>53.064410577078021</v>
      </c>
      <c r="J6">
        <f t="shared" si="0"/>
        <v>46.933171394516705</v>
      </c>
      <c r="K6">
        <f t="shared" si="10"/>
        <v>94.484006062155856</v>
      </c>
      <c r="L6">
        <f t="shared" si="6"/>
        <v>0.57617243755684078</v>
      </c>
      <c r="M6" t="str">
        <f t="shared" si="7"/>
        <v>High Unload Loss</v>
      </c>
      <c r="N6">
        <v>30723.45</v>
      </c>
      <c r="O6">
        <v>27173.56</v>
      </c>
      <c r="P6">
        <v>57898.41</v>
      </c>
      <c r="Q6">
        <v>3027.05</v>
      </c>
      <c r="R6">
        <v>353.07</v>
      </c>
    </row>
    <row r="7" spans="1:18" s="3" customFormat="1" x14ac:dyDescent="0.3">
      <c r="A7" s="24" t="s">
        <v>39</v>
      </c>
      <c r="B7" s="4">
        <v>0.41666666666666669</v>
      </c>
    </row>
    <row r="8" spans="1:18" s="3" customFormat="1" x14ac:dyDescent="0.3">
      <c r="A8" s="24" t="s">
        <v>40</v>
      </c>
      <c r="B8" s="4">
        <v>0.41666666666666669</v>
      </c>
    </row>
    <row r="9" spans="1:18" x14ac:dyDescent="0.3">
      <c r="A9" s="23" t="s">
        <v>41</v>
      </c>
      <c r="B9" s="2">
        <v>0.41666666666666669</v>
      </c>
      <c r="C9" t="s">
        <v>18</v>
      </c>
      <c r="D9">
        <f t="shared" si="1"/>
        <v>20.150000000001455</v>
      </c>
      <c r="E9">
        <f t="shared" si="8"/>
        <v>0.91999999999825377</v>
      </c>
      <c r="F9">
        <f t="shared" si="2"/>
        <v>21.469999999993888</v>
      </c>
      <c r="G9">
        <f t="shared" si="3"/>
        <v>0</v>
      </c>
      <c r="H9">
        <f t="shared" si="4"/>
        <v>0</v>
      </c>
      <c r="I9">
        <f t="shared" si="9"/>
        <v>93.851886353084254</v>
      </c>
      <c r="J9">
        <f t="shared" si="0"/>
        <v>4.2850489054425509</v>
      </c>
      <c r="K9">
        <f t="shared" si="10"/>
        <v>100</v>
      </c>
      <c r="L9">
        <f t="shared" si="6"/>
        <v>0</v>
      </c>
      <c r="M9" t="str">
        <f t="shared" si="7"/>
        <v>Efficient</v>
      </c>
      <c r="N9">
        <v>30769.439999999999</v>
      </c>
      <c r="O9">
        <v>27174.11</v>
      </c>
      <c r="P9">
        <v>57943.55</v>
      </c>
      <c r="Q9">
        <v>3051.55</v>
      </c>
      <c r="R9">
        <v>353.07</v>
      </c>
    </row>
    <row r="10" spans="1:18" x14ac:dyDescent="0.3">
      <c r="A10" s="23" t="s">
        <v>42</v>
      </c>
      <c r="B10" s="2">
        <v>0.41666666666666669</v>
      </c>
      <c r="C10" t="s">
        <v>18</v>
      </c>
      <c r="D10">
        <f t="shared" si="1"/>
        <v>19.959999999999127</v>
      </c>
      <c r="E10">
        <f t="shared" si="8"/>
        <v>1.2000000000007276</v>
      </c>
      <c r="F10">
        <f t="shared" si="2"/>
        <v>21.160000000003492</v>
      </c>
      <c r="G10">
        <f t="shared" si="3"/>
        <v>0</v>
      </c>
      <c r="H10">
        <f t="shared" si="4"/>
        <v>0</v>
      </c>
      <c r="I10">
        <f t="shared" si="9"/>
        <v>94.328922495254403</v>
      </c>
      <c r="J10">
        <f t="shared" si="0"/>
        <v>5.6710775047283999</v>
      </c>
      <c r="K10">
        <f t="shared" si="10"/>
        <v>100</v>
      </c>
      <c r="L10">
        <f t="shared" si="6"/>
        <v>0</v>
      </c>
      <c r="M10" t="str">
        <f t="shared" si="7"/>
        <v>Efficient</v>
      </c>
      <c r="N10">
        <v>30789.59</v>
      </c>
      <c r="O10">
        <v>27175.03</v>
      </c>
      <c r="P10">
        <v>57965.02</v>
      </c>
      <c r="Q10">
        <v>3051.55</v>
      </c>
      <c r="R10">
        <v>353.07</v>
      </c>
    </row>
    <row r="11" spans="1:18" x14ac:dyDescent="0.3">
      <c r="A11" s="23" t="s">
        <v>43</v>
      </c>
      <c r="B11" s="2">
        <v>0.41666666666666669</v>
      </c>
      <c r="C11" t="s">
        <v>18</v>
      </c>
      <c r="D11">
        <f t="shared" si="1"/>
        <v>21.459999999999127</v>
      </c>
      <c r="E11">
        <f t="shared" si="8"/>
        <v>0.77899999999863212</v>
      </c>
      <c r="F11">
        <f t="shared" si="2"/>
        <v>21.919999999998254</v>
      </c>
      <c r="G11">
        <f t="shared" si="3"/>
        <v>0</v>
      </c>
      <c r="H11">
        <f t="shared" si="4"/>
        <v>0</v>
      </c>
      <c r="I11">
        <f t="shared" si="9"/>
        <v>97.901459854018412</v>
      </c>
      <c r="J11">
        <f t="shared" si="0"/>
        <v>3.5538321167823641</v>
      </c>
      <c r="K11">
        <f t="shared" si="10"/>
        <v>100</v>
      </c>
      <c r="L11">
        <f t="shared" si="6"/>
        <v>0</v>
      </c>
      <c r="M11" t="str">
        <f t="shared" si="7"/>
        <v>Efficient</v>
      </c>
      <c r="N11">
        <v>30809.55</v>
      </c>
      <c r="O11">
        <v>27176.23</v>
      </c>
      <c r="P11">
        <v>57986.18</v>
      </c>
      <c r="Q11">
        <v>3051.55</v>
      </c>
      <c r="R11">
        <v>353.07</v>
      </c>
    </row>
    <row r="12" spans="1:18" x14ac:dyDescent="0.3">
      <c r="A12" s="23" t="s">
        <v>44</v>
      </c>
      <c r="B12" s="2">
        <v>0.41666666666666669</v>
      </c>
      <c r="C12" t="s">
        <v>18</v>
      </c>
      <c r="D12">
        <f t="shared" si="1"/>
        <v>20.30000000000291</v>
      </c>
      <c r="E12">
        <f t="shared" si="8"/>
        <v>1.2310000000034051</v>
      </c>
      <c r="F12">
        <f t="shared" si="2"/>
        <v>21.450000000004366</v>
      </c>
      <c r="G12">
        <f t="shared" si="3"/>
        <v>0</v>
      </c>
      <c r="H12">
        <f t="shared" si="4"/>
        <v>0</v>
      </c>
      <c r="I12">
        <f t="shared" si="9"/>
        <v>94.638694638688946</v>
      </c>
      <c r="J12">
        <f t="shared" si="0"/>
        <v>5.7389277389424462</v>
      </c>
      <c r="K12">
        <f t="shared" si="10"/>
        <v>100</v>
      </c>
      <c r="L12">
        <f t="shared" si="6"/>
        <v>0</v>
      </c>
      <c r="M12" t="str">
        <f t="shared" si="7"/>
        <v>Efficient</v>
      </c>
      <c r="N12">
        <v>30831.01</v>
      </c>
      <c r="O12">
        <v>27177.008999999998</v>
      </c>
      <c r="P12">
        <v>58008.1</v>
      </c>
      <c r="Q12">
        <v>3051.55</v>
      </c>
      <c r="R12">
        <v>353.07</v>
      </c>
    </row>
    <row r="13" spans="1:18" x14ac:dyDescent="0.3">
      <c r="A13" s="23" t="s">
        <v>45</v>
      </c>
      <c r="B13" s="2">
        <v>0.41666666666666669</v>
      </c>
      <c r="C13" t="s">
        <v>18</v>
      </c>
      <c r="D13">
        <f t="shared" si="1"/>
        <v>-30851.31</v>
      </c>
      <c r="E13">
        <f t="shared" si="8"/>
        <v>-27178.240000000002</v>
      </c>
      <c r="F13">
        <f t="shared" si="2"/>
        <v>-58029.55</v>
      </c>
      <c r="G13">
        <f t="shared" si="3"/>
        <v>-3051.55</v>
      </c>
      <c r="H13">
        <f t="shared" si="4"/>
        <v>-353.07</v>
      </c>
      <c r="I13">
        <f t="shared" si="9"/>
        <v>53.164827230264578</v>
      </c>
      <c r="J13">
        <f t="shared" si="0"/>
        <v>46.835172769735415</v>
      </c>
      <c r="K13">
        <f t="shared" si="10"/>
        <v>94.458100434985937</v>
      </c>
      <c r="L13">
        <f t="shared" si="6"/>
        <v>0.57471273722750704</v>
      </c>
      <c r="M13" t="str">
        <f t="shared" si="7"/>
        <v>High Unload Loss</v>
      </c>
      <c r="N13">
        <v>30851.31</v>
      </c>
      <c r="O13">
        <v>27178.240000000002</v>
      </c>
      <c r="P13">
        <v>58029.55</v>
      </c>
      <c r="Q13">
        <v>3051.55</v>
      </c>
      <c r="R13">
        <v>353.07</v>
      </c>
    </row>
    <row r="14" spans="1:18" s="3" customFormat="1" ht="19.2" customHeight="1" x14ac:dyDescent="0.3">
      <c r="A14" s="24" t="s">
        <v>47</v>
      </c>
      <c r="B14" s="4"/>
    </row>
    <row r="15" spans="1:18" s="3" customFormat="1" x14ac:dyDescent="0.3">
      <c r="A15" s="24" t="s">
        <v>48</v>
      </c>
      <c r="B15" s="4"/>
    </row>
    <row r="16" spans="1:18" x14ac:dyDescent="0.3">
      <c r="A16" s="23" t="s">
        <v>46</v>
      </c>
      <c r="B16" s="2" t="s">
        <v>49</v>
      </c>
      <c r="C16" t="s">
        <v>18</v>
      </c>
      <c r="D16">
        <f t="shared" si="1"/>
        <v>19.259999999998399</v>
      </c>
      <c r="E16">
        <f t="shared" si="8"/>
        <v>1.3600000000005821</v>
      </c>
      <c r="F16">
        <f t="shared" si="2"/>
        <v>20.819999999999709</v>
      </c>
      <c r="G16">
        <f t="shared" si="3"/>
        <v>0</v>
      </c>
      <c r="H16">
        <f t="shared" si="4"/>
        <v>0</v>
      </c>
      <c r="I16">
        <f>(D16/F16)*100</f>
        <v>92.507204610944612</v>
      </c>
      <c r="J16">
        <f t="shared" si="0"/>
        <v>6.5321805955840588</v>
      </c>
      <c r="K16">
        <f t="shared" si="10"/>
        <v>100</v>
      </c>
      <c r="L16">
        <f t="shared" si="6"/>
        <v>0</v>
      </c>
      <c r="M16" t="str">
        <f t="shared" si="7"/>
        <v>Efficient</v>
      </c>
      <c r="N16">
        <v>30892</v>
      </c>
      <c r="O16">
        <v>27181.09</v>
      </c>
      <c r="P16">
        <v>58073.29</v>
      </c>
      <c r="Q16">
        <v>3067.03</v>
      </c>
      <c r="R16">
        <v>353.07</v>
      </c>
    </row>
    <row r="17" spans="1:18" x14ac:dyDescent="0.3">
      <c r="A17" s="23" t="s">
        <v>51</v>
      </c>
      <c r="B17" s="2" t="s">
        <v>49</v>
      </c>
      <c r="C17" t="s">
        <v>18</v>
      </c>
      <c r="D17">
        <f t="shared" si="1"/>
        <v>20.010000000002037</v>
      </c>
      <c r="E17">
        <f t="shared" si="8"/>
        <v>1.6300000000010186</v>
      </c>
      <c r="F17">
        <f t="shared" si="2"/>
        <v>21.239999999997963</v>
      </c>
      <c r="G17">
        <f t="shared" si="3"/>
        <v>0</v>
      </c>
      <c r="H17">
        <f t="shared" si="4"/>
        <v>0</v>
      </c>
      <c r="I17">
        <f t="shared" si="9"/>
        <v>94.209039548041233</v>
      </c>
      <c r="J17">
        <f t="shared" si="0"/>
        <v>7.6741996233576968</v>
      </c>
      <c r="K17">
        <f t="shared" si="10"/>
        <v>100</v>
      </c>
      <c r="L17">
        <f t="shared" si="6"/>
        <v>0</v>
      </c>
      <c r="M17" t="str">
        <f t="shared" si="7"/>
        <v>Efficient</v>
      </c>
      <c r="N17">
        <v>30911.26</v>
      </c>
      <c r="O17">
        <v>27182.45</v>
      </c>
      <c r="P17">
        <v>58094.11</v>
      </c>
      <c r="Q17">
        <v>3067.03</v>
      </c>
      <c r="R17">
        <v>353.07</v>
      </c>
    </row>
    <row r="18" spans="1:18" x14ac:dyDescent="0.3">
      <c r="A18" s="23" t="s">
        <v>52</v>
      </c>
      <c r="B18" s="2" t="s">
        <v>49</v>
      </c>
      <c r="C18" t="s">
        <v>18</v>
      </c>
      <c r="D18">
        <f t="shared" si="1"/>
        <v>19.779999999998836</v>
      </c>
      <c r="E18">
        <f t="shared" si="8"/>
        <v>1.1099999999969441</v>
      </c>
      <c r="F18">
        <f t="shared" si="2"/>
        <v>20.889999999999418</v>
      </c>
      <c r="G18">
        <f t="shared" si="3"/>
        <v>0</v>
      </c>
      <c r="H18">
        <f t="shared" si="4"/>
        <v>0</v>
      </c>
      <c r="I18">
        <f t="shared" si="9"/>
        <v>94.686452848249814</v>
      </c>
      <c r="J18">
        <f t="shared" si="0"/>
        <v>5.3135471517327666</v>
      </c>
      <c r="K18">
        <f t="shared" si="10"/>
        <v>100</v>
      </c>
      <c r="L18">
        <f t="shared" si="6"/>
        <v>0</v>
      </c>
      <c r="M18" t="str">
        <f t="shared" si="7"/>
        <v>Efficient</v>
      </c>
      <c r="N18">
        <v>30931.27</v>
      </c>
      <c r="O18">
        <v>27184.080000000002</v>
      </c>
      <c r="P18">
        <v>58115.35</v>
      </c>
      <c r="Q18">
        <v>3067.03</v>
      </c>
      <c r="R18">
        <v>353.07</v>
      </c>
    </row>
    <row r="19" spans="1:18" x14ac:dyDescent="0.3">
      <c r="A19" s="23" t="s">
        <v>53</v>
      </c>
      <c r="B19" s="2" t="s">
        <v>49</v>
      </c>
      <c r="C19" t="s">
        <v>18</v>
      </c>
      <c r="D19">
        <f t="shared" si="1"/>
        <v>20.240000000001601</v>
      </c>
      <c r="E19">
        <f t="shared" si="8"/>
        <v>1</v>
      </c>
      <c r="F19">
        <f t="shared" si="2"/>
        <v>21.240000000005239</v>
      </c>
      <c r="G19">
        <f t="shared" si="3"/>
        <v>-10</v>
      </c>
      <c r="H19">
        <f t="shared" si="4"/>
        <v>0</v>
      </c>
      <c r="I19">
        <f t="shared" si="9"/>
        <v>95.291902071547113</v>
      </c>
      <c r="J19">
        <f t="shared" si="0"/>
        <v>4.70809792843575</v>
      </c>
      <c r="K19">
        <f t="shared" si="10"/>
        <v>188.96797153020765</v>
      </c>
      <c r="L19">
        <f t="shared" si="6"/>
        <v>0</v>
      </c>
      <c r="M19" t="str">
        <f t="shared" si="7"/>
        <v>Efficient</v>
      </c>
      <c r="N19">
        <v>30951.05</v>
      </c>
      <c r="O19">
        <v>27185.19</v>
      </c>
      <c r="P19">
        <v>58136.24</v>
      </c>
      <c r="Q19">
        <v>3067.03</v>
      </c>
      <c r="R19">
        <v>353.07</v>
      </c>
    </row>
    <row r="20" spans="1:18" x14ac:dyDescent="0.3">
      <c r="A20" s="23" t="s">
        <v>54</v>
      </c>
      <c r="B20" s="2" t="s">
        <v>49</v>
      </c>
      <c r="C20" t="s">
        <v>18</v>
      </c>
      <c r="D20">
        <f t="shared" si="1"/>
        <v>-30971.29</v>
      </c>
      <c r="E20">
        <f t="shared" si="8"/>
        <v>-27186.19</v>
      </c>
      <c r="F20">
        <f t="shared" si="2"/>
        <v>-58157.48</v>
      </c>
      <c r="G20">
        <f t="shared" si="3"/>
        <v>-3057.03</v>
      </c>
      <c r="H20">
        <f t="shared" si="4"/>
        <v>-353.07</v>
      </c>
      <c r="I20">
        <f t="shared" si="9"/>
        <v>53.25418157733106</v>
      </c>
      <c r="J20">
        <f t="shared" si="0"/>
        <v>46.745818422668926</v>
      </c>
      <c r="K20">
        <f t="shared" si="10"/>
        <v>94.461208317754256</v>
      </c>
      <c r="L20">
        <f t="shared" si="6"/>
        <v>0.57346739956321169</v>
      </c>
      <c r="M20" t="str">
        <f t="shared" si="7"/>
        <v>High Unload Loss</v>
      </c>
      <c r="N20">
        <v>30971.29</v>
      </c>
      <c r="O20">
        <v>27186.19</v>
      </c>
      <c r="P20">
        <v>58157.48</v>
      </c>
      <c r="Q20">
        <v>3057.03</v>
      </c>
      <c r="R20">
        <v>353.07</v>
      </c>
    </row>
    <row r="21" spans="1:18" s="3" customFormat="1" x14ac:dyDescent="0.3">
      <c r="A21" s="24" t="s">
        <v>56</v>
      </c>
      <c r="B21" s="4"/>
    </row>
    <row r="22" spans="1:18" s="3" customFormat="1" x14ac:dyDescent="0.3">
      <c r="A22" s="24" t="s">
        <v>57</v>
      </c>
      <c r="B22" s="4"/>
    </row>
    <row r="23" spans="1:18" x14ac:dyDescent="0.3">
      <c r="A23" s="23" t="s">
        <v>58</v>
      </c>
      <c r="B23" s="2" t="s">
        <v>49</v>
      </c>
      <c r="C23" t="s">
        <v>18</v>
      </c>
      <c r="D23">
        <f t="shared" si="1"/>
        <v>-31015.38</v>
      </c>
      <c r="E23">
        <f t="shared" si="8"/>
        <v>-2719.2</v>
      </c>
      <c r="F23">
        <f t="shared" si="2"/>
        <v>-58207.58</v>
      </c>
      <c r="G23">
        <f t="shared" si="3"/>
        <v>-3067.03</v>
      </c>
      <c r="H23">
        <f t="shared" si="4"/>
        <v>-353.07</v>
      </c>
      <c r="I23">
        <f t="shared" si="9"/>
        <v>53.284091178502869</v>
      </c>
      <c r="J23">
        <f t="shared" si="0"/>
        <v>4.6715565223635815</v>
      </c>
      <c r="K23">
        <f t="shared" si="10"/>
        <v>94.450383334242019</v>
      </c>
      <c r="L23">
        <f t="shared" si="6"/>
        <v>0.57290814776736687</v>
      </c>
      <c r="M23" t="str">
        <f t="shared" si="7"/>
        <v>Efficient</v>
      </c>
      <c r="N23">
        <v>31015.38</v>
      </c>
      <c r="O23">
        <v>2719.2</v>
      </c>
      <c r="P23">
        <v>58207.58</v>
      </c>
      <c r="Q23">
        <v>3067.03</v>
      </c>
      <c r="R23">
        <v>353.07</v>
      </c>
    </row>
    <row r="31" spans="1:18" x14ac:dyDescent="0.3">
      <c r="B31" s="2" t="s">
        <v>1</v>
      </c>
      <c r="C31" s="1" t="s">
        <v>2</v>
      </c>
      <c r="D31" t="s">
        <v>3</v>
      </c>
      <c r="E31" t="s">
        <v>4</v>
      </c>
      <c r="F31" t="s">
        <v>12</v>
      </c>
      <c r="G31" t="s">
        <v>5</v>
      </c>
      <c r="H31" t="s">
        <v>6</v>
      </c>
      <c r="I31" s="1" t="s">
        <v>7</v>
      </c>
      <c r="J31" t="s">
        <v>8</v>
      </c>
      <c r="K31" t="s">
        <v>9</v>
      </c>
      <c r="L31" t="s">
        <v>10</v>
      </c>
      <c r="M31" t="s">
        <v>11</v>
      </c>
      <c r="N31" t="s">
        <v>15</v>
      </c>
      <c r="O31" t="s">
        <v>14</v>
      </c>
      <c r="P31" t="s">
        <v>13</v>
      </c>
      <c r="Q31" t="s">
        <v>16</v>
      </c>
      <c r="R31" t="s">
        <v>17</v>
      </c>
    </row>
    <row r="32" spans="1:18" x14ac:dyDescent="0.3">
      <c r="A32" s="23" t="str">
        <f>A2</f>
        <v>01.06.2026</v>
      </c>
      <c r="B32" s="2">
        <f>B2</f>
        <v>0.41666666666666669</v>
      </c>
      <c r="C32" t="s">
        <v>19</v>
      </c>
      <c r="D32">
        <f>N33-N32</f>
        <v>18.959999999999127</v>
      </c>
      <c r="E32">
        <f>O33-O32</f>
        <v>2.1099999999996726</v>
      </c>
      <c r="F32">
        <f>P33-P32</f>
        <v>21.080000000001746</v>
      </c>
      <c r="G32">
        <f>+Q33-Q32</f>
        <v>1.3399999999999181</v>
      </c>
      <c r="H32">
        <f>R33-R32</f>
        <v>0</v>
      </c>
      <c r="I32">
        <f>(D32/F32)*100</f>
        <v>89.943074003783479</v>
      </c>
      <c r="J32">
        <f>(E32/F32)*100</f>
        <v>10.009487666031774</v>
      </c>
      <c r="K32">
        <f>(F32/(F32+G32+H32)*100)</f>
        <v>94.023193577164051</v>
      </c>
      <c r="L32">
        <f>(H32/(F32+G32+H32))*100</f>
        <v>0</v>
      </c>
      <c r="M32" t="str">
        <f>IF(J32&gt;40,"High Unload Loss","Efficient")</f>
        <v>Efficient</v>
      </c>
      <c r="N32">
        <v>14147.26</v>
      </c>
      <c r="O32">
        <v>7429.22</v>
      </c>
      <c r="P32">
        <v>21576.48</v>
      </c>
      <c r="Q32">
        <v>2031.03</v>
      </c>
      <c r="R32">
        <v>188.49</v>
      </c>
    </row>
    <row r="33" spans="1:18" x14ac:dyDescent="0.3">
      <c r="A33" s="23" t="str">
        <f>A3</f>
        <v>02.06.2026</v>
      </c>
      <c r="B33" s="2">
        <f>B3</f>
        <v>0.41666666666666669</v>
      </c>
      <c r="C33" t="s">
        <v>19</v>
      </c>
      <c r="D33">
        <f t="shared" ref="D33:D50" si="11">N34-N33</f>
        <v>14.940000000000509</v>
      </c>
      <c r="E33">
        <f>O34-O33</f>
        <v>1.7100000000000364</v>
      </c>
      <c r="F33">
        <f t="shared" ref="F33:F50" si="12">P34-P33</f>
        <v>22.649999999997817</v>
      </c>
      <c r="G33">
        <f t="shared" ref="G33:G50" si="13">+Q34-Q33</f>
        <v>0.16000000000008185</v>
      </c>
      <c r="H33">
        <f t="shared" ref="H33:H41" si="14">R34-R33</f>
        <v>0</v>
      </c>
      <c r="I33">
        <f t="shared" ref="I33:I53" si="15">(D33/F33)*100</f>
        <v>65.960264900670865</v>
      </c>
      <c r="J33">
        <f t="shared" ref="J33:J53" si="16">(E33/F33)*100</f>
        <v>7.549668874173074</v>
      </c>
      <c r="K33">
        <f t="shared" ref="K33:K53" si="17">(F33/(F33+G33+H33)*100)</f>
        <v>99.298553266110929</v>
      </c>
      <c r="L33">
        <f t="shared" ref="L33:L53" si="18">(H33/(F33+G33+H33))*100</f>
        <v>0</v>
      </c>
      <c r="M33" t="str">
        <f t="shared" ref="M33:M53" si="19">IF(J33&gt;40,"High Unload Loss","Efficient")</f>
        <v>Efficient</v>
      </c>
      <c r="N33">
        <v>14166.22</v>
      </c>
      <c r="O33">
        <v>7431.33</v>
      </c>
      <c r="P33">
        <v>21597.56</v>
      </c>
      <c r="Q33">
        <v>2032.37</v>
      </c>
      <c r="R33">
        <v>188.49</v>
      </c>
    </row>
    <row r="34" spans="1:18" x14ac:dyDescent="0.3">
      <c r="A34" s="23" t="s">
        <v>35</v>
      </c>
      <c r="B34" s="2" t="s">
        <v>36</v>
      </c>
      <c r="C34" t="s">
        <v>19</v>
      </c>
      <c r="D34">
        <f t="shared" si="11"/>
        <v>26.840000000000146</v>
      </c>
      <c r="E34">
        <f t="shared" ref="E34:E50" si="20">O35-O34</f>
        <v>1.5</v>
      </c>
      <c r="F34">
        <f t="shared" si="12"/>
        <v>22.340000000000146</v>
      </c>
      <c r="G34">
        <f t="shared" si="13"/>
        <v>0</v>
      </c>
      <c r="H34">
        <f t="shared" si="14"/>
        <v>0</v>
      </c>
      <c r="I34">
        <f t="shared" si="15"/>
        <v>120.14324082363461</v>
      </c>
      <c r="J34">
        <f t="shared" si="16"/>
        <v>6.7144136078782015</v>
      </c>
      <c r="K34">
        <f t="shared" si="17"/>
        <v>100</v>
      </c>
      <c r="L34">
        <f t="shared" si="18"/>
        <v>0</v>
      </c>
      <c r="M34" t="str">
        <f t="shared" si="19"/>
        <v>Efficient</v>
      </c>
      <c r="N34">
        <v>14181.16</v>
      </c>
      <c r="O34">
        <v>7433.04</v>
      </c>
      <c r="P34">
        <v>21620.21</v>
      </c>
      <c r="Q34">
        <v>2032.53</v>
      </c>
      <c r="R34">
        <v>188.49</v>
      </c>
    </row>
    <row r="35" spans="1:18" x14ac:dyDescent="0.3">
      <c r="A35" s="23" t="s">
        <v>37</v>
      </c>
      <c r="B35" s="2" t="s">
        <v>36</v>
      </c>
      <c r="C35" t="s">
        <v>19</v>
      </c>
      <c r="D35">
        <f t="shared" si="11"/>
        <v>17.079999999999927</v>
      </c>
      <c r="E35">
        <f t="shared" si="20"/>
        <v>1.819999999999709</v>
      </c>
      <c r="F35">
        <f t="shared" si="12"/>
        <v>18.900000000001455</v>
      </c>
      <c r="G35">
        <f t="shared" si="13"/>
        <v>0.70000000000004547</v>
      </c>
      <c r="H35">
        <f t="shared" si="14"/>
        <v>0</v>
      </c>
      <c r="I35">
        <f t="shared" si="15"/>
        <v>90.370370370363034</v>
      </c>
      <c r="J35">
        <f t="shared" si="16"/>
        <v>9.6296296296273489</v>
      </c>
      <c r="K35">
        <f t="shared" si="17"/>
        <v>96.428571428571473</v>
      </c>
      <c r="L35">
        <f t="shared" si="18"/>
        <v>0</v>
      </c>
      <c r="M35" t="str">
        <f t="shared" si="19"/>
        <v>Efficient</v>
      </c>
      <c r="N35">
        <v>14208</v>
      </c>
      <c r="O35">
        <v>7434.54</v>
      </c>
      <c r="P35">
        <v>21642.55</v>
      </c>
      <c r="Q35">
        <v>2032.53</v>
      </c>
      <c r="R35">
        <v>188.49</v>
      </c>
    </row>
    <row r="36" spans="1:18" x14ac:dyDescent="0.3">
      <c r="A36" s="23" t="str">
        <f>A6</f>
        <v>05.06.2026</v>
      </c>
      <c r="B36" s="2" t="s">
        <v>36</v>
      </c>
      <c r="C36" t="s">
        <v>19</v>
      </c>
      <c r="D36">
        <f t="shared" si="11"/>
        <v>-14225.08</v>
      </c>
      <c r="E36">
        <f t="shared" si="20"/>
        <v>-7436.36</v>
      </c>
      <c r="F36">
        <f t="shared" si="12"/>
        <v>-21661.45</v>
      </c>
      <c r="G36">
        <f t="shared" si="13"/>
        <v>-2033.23</v>
      </c>
      <c r="H36">
        <f t="shared" si="14"/>
        <v>-188.49</v>
      </c>
      <c r="I36">
        <f t="shared" si="15"/>
        <v>65.670026706430079</v>
      </c>
      <c r="J36">
        <f t="shared" si="16"/>
        <v>34.329927128608659</v>
      </c>
      <c r="K36">
        <f t="shared" si="17"/>
        <v>90.697549780870787</v>
      </c>
      <c r="L36">
        <f t="shared" si="18"/>
        <v>0.78921684181789931</v>
      </c>
      <c r="M36" t="str">
        <f t="shared" si="19"/>
        <v>Efficient</v>
      </c>
      <c r="N36">
        <v>14225.08</v>
      </c>
      <c r="O36">
        <v>7436.36</v>
      </c>
      <c r="P36">
        <v>21661.45</v>
      </c>
      <c r="Q36">
        <v>2033.23</v>
      </c>
      <c r="R36">
        <v>188.49</v>
      </c>
    </row>
    <row r="37" spans="1:18" s="3" customFormat="1" x14ac:dyDescent="0.3">
      <c r="A37" s="24" t="str">
        <f t="shared" ref="A37:A42" si="21">A7</f>
        <v>06.06.2026</v>
      </c>
      <c r="B37" s="4" t="s">
        <v>36</v>
      </c>
    </row>
    <row r="38" spans="1:18" s="3" customFormat="1" x14ac:dyDescent="0.3">
      <c r="A38" s="24" t="str">
        <f t="shared" si="21"/>
        <v>07.06.2026</v>
      </c>
      <c r="B38" s="4" t="s">
        <v>36</v>
      </c>
    </row>
    <row r="39" spans="1:18" x14ac:dyDescent="0.3">
      <c r="A39" s="23" t="str">
        <f t="shared" si="21"/>
        <v>08.06.2026</v>
      </c>
      <c r="B39" s="2" t="s">
        <v>36</v>
      </c>
      <c r="C39" t="s">
        <v>19</v>
      </c>
      <c r="D39">
        <f t="shared" si="11"/>
        <v>17.860000000000582</v>
      </c>
      <c r="E39">
        <f t="shared" si="20"/>
        <v>3.3100000000004002</v>
      </c>
      <c r="F39">
        <f t="shared" si="12"/>
        <v>21.599999999998545</v>
      </c>
      <c r="G39">
        <f t="shared" si="13"/>
        <v>0</v>
      </c>
      <c r="H39">
        <f t="shared" si="14"/>
        <v>0</v>
      </c>
      <c r="I39">
        <f t="shared" si="15"/>
        <v>82.685185185193461</v>
      </c>
      <c r="J39">
        <f t="shared" si="16"/>
        <v>15.324074074076959</v>
      </c>
      <c r="K39">
        <f t="shared" si="17"/>
        <v>100</v>
      </c>
      <c r="L39">
        <f t="shared" si="18"/>
        <v>0</v>
      </c>
      <c r="M39" t="str">
        <f t="shared" si="19"/>
        <v>Efficient</v>
      </c>
      <c r="N39">
        <v>14268.41</v>
      </c>
      <c r="O39">
        <v>7439.19</v>
      </c>
      <c r="P39">
        <v>21707.59</v>
      </c>
      <c r="Q39">
        <v>2056.59</v>
      </c>
      <c r="R39">
        <v>188.49</v>
      </c>
    </row>
    <row r="40" spans="1:18" x14ac:dyDescent="0.3">
      <c r="A40" s="23" t="str">
        <f t="shared" si="21"/>
        <v>09.06.2026</v>
      </c>
      <c r="B40" s="2" t="s">
        <v>36</v>
      </c>
      <c r="C40" t="s">
        <v>19</v>
      </c>
      <c r="D40">
        <f t="shared" si="11"/>
        <v>18.319999999999709</v>
      </c>
      <c r="E40">
        <f t="shared" si="20"/>
        <v>4.5200000000004366</v>
      </c>
      <c r="F40">
        <f t="shared" si="12"/>
        <v>22.819999999999709</v>
      </c>
      <c r="G40">
        <f t="shared" si="13"/>
        <v>0</v>
      </c>
      <c r="H40">
        <f t="shared" si="14"/>
        <v>0</v>
      </c>
      <c r="I40">
        <f t="shared" si="15"/>
        <v>80.280455740578191</v>
      </c>
      <c r="J40">
        <f t="shared" si="16"/>
        <v>19.807186678354487</v>
      </c>
      <c r="K40">
        <f t="shared" si="17"/>
        <v>100</v>
      </c>
      <c r="L40">
        <f t="shared" si="18"/>
        <v>0</v>
      </c>
      <c r="M40" t="str">
        <f t="shared" si="19"/>
        <v>Efficient</v>
      </c>
      <c r="N40">
        <v>14286.27</v>
      </c>
      <c r="O40">
        <v>7442.5</v>
      </c>
      <c r="P40">
        <v>21729.19</v>
      </c>
      <c r="Q40">
        <v>2056.59</v>
      </c>
      <c r="R40">
        <v>188.49</v>
      </c>
    </row>
    <row r="41" spans="1:18" x14ac:dyDescent="0.3">
      <c r="A41" s="23" t="str">
        <f t="shared" si="21"/>
        <v>10.06.2026</v>
      </c>
      <c r="B41" s="2" t="s">
        <v>36</v>
      </c>
      <c r="C41" t="s">
        <v>19</v>
      </c>
      <c r="D41">
        <f t="shared" si="11"/>
        <v>17.969999999999345</v>
      </c>
      <c r="E41">
        <f t="shared" si="20"/>
        <v>3.5099999999993088</v>
      </c>
      <c r="F41">
        <f t="shared" si="12"/>
        <v>21.480000000003201</v>
      </c>
      <c r="G41">
        <f t="shared" si="13"/>
        <v>0</v>
      </c>
      <c r="H41">
        <f t="shared" si="14"/>
        <v>0</v>
      </c>
      <c r="I41">
        <f t="shared" si="15"/>
        <v>83.659217877079456</v>
      </c>
      <c r="J41">
        <f t="shared" si="16"/>
        <v>16.340782122899373</v>
      </c>
      <c r="K41">
        <f t="shared" si="17"/>
        <v>100</v>
      </c>
      <c r="L41">
        <f t="shared" si="18"/>
        <v>0</v>
      </c>
      <c r="M41" t="str">
        <f t="shared" si="19"/>
        <v>Efficient</v>
      </c>
      <c r="N41">
        <v>14304.59</v>
      </c>
      <c r="O41">
        <v>7447.02</v>
      </c>
      <c r="P41">
        <v>21752.01</v>
      </c>
      <c r="Q41">
        <v>2056.59</v>
      </c>
      <c r="R41">
        <v>188.49</v>
      </c>
    </row>
    <row r="42" spans="1:18" x14ac:dyDescent="0.3">
      <c r="A42" s="23" t="str">
        <f t="shared" si="21"/>
        <v>11.06.2026</v>
      </c>
      <c r="B42" s="2" t="s">
        <v>36</v>
      </c>
      <c r="C42" t="s">
        <v>19</v>
      </c>
      <c r="D42">
        <f t="shared" ref="D42:F43" si="22">N43-N42</f>
        <v>18.989999999999782</v>
      </c>
      <c r="E42">
        <f t="shared" si="22"/>
        <v>4.5700000000006185</v>
      </c>
      <c r="F42">
        <f t="shared" si="22"/>
        <v>23.559999999997672</v>
      </c>
      <c r="G42">
        <f>+Q43-Q42</f>
        <v>0</v>
      </c>
      <c r="H42">
        <f>R43-R42</f>
        <v>0</v>
      </c>
      <c r="I42">
        <f t="shared" si="15"/>
        <v>80.602716468597862</v>
      </c>
      <c r="J42">
        <f t="shared" si="16"/>
        <v>19.397283531413709</v>
      </c>
      <c r="K42">
        <f t="shared" si="17"/>
        <v>100</v>
      </c>
      <c r="L42">
        <f t="shared" si="18"/>
        <v>0</v>
      </c>
      <c r="M42" t="str">
        <f t="shared" si="19"/>
        <v>Efficient</v>
      </c>
      <c r="N42">
        <v>14322.56</v>
      </c>
      <c r="O42">
        <v>7450.53</v>
      </c>
      <c r="P42">
        <v>21773.49</v>
      </c>
      <c r="Q42">
        <v>2056.59</v>
      </c>
      <c r="R42">
        <v>188.49</v>
      </c>
    </row>
    <row r="43" spans="1:18" x14ac:dyDescent="0.3">
      <c r="A43" s="23" t="str">
        <f t="shared" ref="A43:A48" si="23">A13</f>
        <v>12.06.2026</v>
      </c>
      <c r="B43" s="2" t="s">
        <v>36</v>
      </c>
      <c r="C43" t="s">
        <v>19</v>
      </c>
      <c r="D43">
        <f t="shared" si="22"/>
        <v>-14341.55</v>
      </c>
      <c r="E43">
        <f t="shared" si="22"/>
        <v>-7455.1</v>
      </c>
      <c r="F43">
        <f t="shared" si="22"/>
        <v>-21797.05</v>
      </c>
      <c r="G43">
        <f>+Q44-Q43</f>
        <v>-2056.59</v>
      </c>
      <c r="H43">
        <f>R44-R43</f>
        <v>-188.49</v>
      </c>
      <c r="I43">
        <f t="shared" si="15"/>
        <v>65.795830169678922</v>
      </c>
      <c r="J43">
        <f t="shared" si="16"/>
        <v>34.202334719606554</v>
      </c>
      <c r="K43">
        <f t="shared" si="17"/>
        <v>90.66189226994446</v>
      </c>
      <c r="L43">
        <f t="shared" si="18"/>
        <v>0.78399875551791798</v>
      </c>
      <c r="M43" t="str">
        <f t="shared" si="19"/>
        <v>Efficient</v>
      </c>
      <c r="N43">
        <v>14341.55</v>
      </c>
      <c r="O43">
        <v>7455.1</v>
      </c>
      <c r="P43">
        <v>21797.05</v>
      </c>
      <c r="Q43">
        <v>2056.59</v>
      </c>
      <c r="R43">
        <v>188.49</v>
      </c>
    </row>
    <row r="44" spans="1:18" s="5" customFormat="1" x14ac:dyDescent="0.3">
      <c r="A44" s="25" t="str">
        <f t="shared" si="23"/>
        <v>13.06.2026</v>
      </c>
      <c r="B44" s="6"/>
    </row>
    <row r="45" spans="1:18" s="5" customFormat="1" x14ac:dyDescent="0.3">
      <c r="A45" s="25" t="str">
        <f t="shared" si="23"/>
        <v>14.06.2026</v>
      </c>
      <c r="B45" s="6"/>
    </row>
    <row r="46" spans="1:18" x14ac:dyDescent="0.3">
      <c r="A46" s="23" t="str">
        <f t="shared" si="23"/>
        <v>15.06.2026</v>
      </c>
      <c r="B46" s="2" t="s">
        <v>36</v>
      </c>
      <c r="C46" t="s">
        <v>19</v>
      </c>
      <c r="D46">
        <f t="shared" si="11"/>
        <v>18.170000000000073</v>
      </c>
      <c r="E46">
        <f t="shared" si="20"/>
        <v>4.8400000000001455</v>
      </c>
      <c r="F46">
        <f t="shared" si="12"/>
        <v>523.02000000000044</v>
      </c>
      <c r="G46">
        <f t="shared" si="13"/>
        <v>0</v>
      </c>
      <c r="H46">
        <f>R47-R46</f>
        <v>0</v>
      </c>
      <c r="I46">
        <f t="shared" si="15"/>
        <v>3.4740545294635115</v>
      </c>
      <c r="J46">
        <f t="shared" si="16"/>
        <v>0.92539482237775639</v>
      </c>
      <c r="K46">
        <f t="shared" si="17"/>
        <v>100</v>
      </c>
      <c r="L46">
        <f t="shared" si="18"/>
        <v>0</v>
      </c>
      <c r="M46" t="str">
        <f t="shared" si="19"/>
        <v>Efficient</v>
      </c>
      <c r="N46">
        <v>14402.09</v>
      </c>
      <c r="O46">
        <v>7463.36</v>
      </c>
      <c r="P46">
        <v>21365.45</v>
      </c>
      <c r="Q46">
        <v>2057.0300000000002</v>
      </c>
      <c r="R46">
        <v>188.49</v>
      </c>
    </row>
    <row r="47" spans="1:18" x14ac:dyDescent="0.3">
      <c r="A47" s="23" t="str">
        <f t="shared" si="23"/>
        <v>16.06.2026</v>
      </c>
      <c r="B47" s="2" t="s">
        <v>36</v>
      </c>
      <c r="C47" t="s">
        <v>19</v>
      </c>
      <c r="D47">
        <f t="shared" si="11"/>
        <v>18.959999999999127</v>
      </c>
      <c r="E47">
        <f t="shared" si="20"/>
        <v>4.0600000000004002</v>
      </c>
      <c r="F47">
        <f t="shared" si="12"/>
        <v>23.009999999998399</v>
      </c>
      <c r="G47">
        <f t="shared" si="13"/>
        <v>0</v>
      </c>
      <c r="H47">
        <f t="shared" ref="H47:H50" si="24">R48-R47</f>
        <v>0</v>
      </c>
      <c r="I47">
        <f t="shared" si="15"/>
        <v>82.398956975230092</v>
      </c>
      <c r="J47">
        <f t="shared" si="16"/>
        <v>17.64450239026807</v>
      </c>
      <c r="K47">
        <f t="shared" si="17"/>
        <v>100</v>
      </c>
      <c r="L47">
        <f t="shared" si="18"/>
        <v>0</v>
      </c>
      <c r="M47" t="str">
        <f t="shared" si="19"/>
        <v>Efficient</v>
      </c>
      <c r="N47">
        <v>14420.26</v>
      </c>
      <c r="O47">
        <v>7468.2</v>
      </c>
      <c r="P47">
        <v>21888.47</v>
      </c>
      <c r="Q47">
        <v>2057.0300000000002</v>
      </c>
      <c r="R47">
        <v>188.49</v>
      </c>
    </row>
    <row r="48" spans="1:18" x14ac:dyDescent="0.3">
      <c r="A48" s="23" t="str">
        <f t="shared" si="23"/>
        <v>17.06.2026</v>
      </c>
      <c r="B48" s="2" t="s">
        <v>36</v>
      </c>
      <c r="C48" t="s">
        <v>19</v>
      </c>
      <c r="D48">
        <f t="shared" si="11"/>
        <v>19.900000000001455</v>
      </c>
      <c r="E48">
        <f t="shared" si="20"/>
        <v>3.3299999999999272</v>
      </c>
      <c r="F48">
        <f t="shared" si="12"/>
        <v>24.040000000000873</v>
      </c>
      <c r="G48">
        <f t="shared" si="13"/>
        <v>0</v>
      </c>
      <c r="H48">
        <f t="shared" si="24"/>
        <v>0</v>
      </c>
      <c r="I48">
        <f t="shared" si="15"/>
        <v>82.778702163064608</v>
      </c>
      <c r="J48">
        <f t="shared" si="16"/>
        <v>13.851913477536632</v>
      </c>
      <c r="K48">
        <f t="shared" si="17"/>
        <v>100</v>
      </c>
      <c r="L48">
        <f t="shared" si="18"/>
        <v>0</v>
      </c>
      <c r="M48" t="str">
        <f t="shared" si="19"/>
        <v>Efficient</v>
      </c>
      <c r="N48">
        <v>14439.22</v>
      </c>
      <c r="O48">
        <v>7472.26</v>
      </c>
      <c r="P48">
        <v>21911.48</v>
      </c>
      <c r="Q48">
        <v>2057.0300000000002</v>
      </c>
      <c r="R48">
        <v>188.49</v>
      </c>
    </row>
    <row r="49" spans="1:18" x14ac:dyDescent="0.3">
      <c r="A49" s="23" t="str">
        <f t="shared" ref="A49" si="25">A19</f>
        <v>18.06.2026</v>
      </c>
      <c r="B49" s="2" t="s">
        <v>55</v>
      </c>
      <c r="C49" t="s">
        <v>19</v>
      </c>
      <c r="D49">
        <f t="shared" si="11"/>
        <v>17.929999999998472</v>
      </c>
      <c r="E49">
        <f t="shared" si="20"/>
        <v>3.9499999999998181</v>
      </c>
      <c r="F49">
        <f t="shared" si="12"/>
        <v>21.520000000000437</v>
      </c>
      <c r="G49">
        <f t="shared" si="13"/>
        <v>0</v>
      </c>
      <c r="H49">
        <f t="shared" si="24"/>
        <v>0</v>
      </c>
      <c r="I49">
        <f t="shared" si="15"/>
        <v>83.317843866162207</v>
      </c>
      <c r="J49">
        <f t="shared" si="16"/>
        <v>18.355018587359378</v>
      </c>
      <c r="K49">
        <f t="shared" si="17"/>
        <v>100</v>
      </c>
      <c r="L49">
        <f t="shared" si="18"/>
        <v>0</v>
      </c>
      <c r="M49" t="str">
        <f t="shared" si="19"/>
        <v>Efficient</v>
      </c>
      <c r="N49">
        <v>14459.12</v>
      </c>
      <c r="O49">
        <v>7475.59</v>
      </c>
      <c r="P49">
        <v>21935.52</v>
      </c>
      <c r="Q49">
        <v>2057.0300000000002</v>
      </c>
      <c r="R49">
        <v>188.49</v>
      </c>
    </row>
    <row r="50" spans="1:18" x14ac:dyDescent="0.3">
      <c r="A50" s="23" t="str">
        <f>A20</f>
        <v>19.06.2026</v>
      </c>
      <c r="B50" s="2" t="s">
        <v>55</v>
      </c>
      <c r="C50" t="s">
        <v>19</v>
      </c>
      <c r="D50">
        <f t="shared" si="11"/>
        <v>-14477.05</v>
      </c>
      <c r="E50">
        <f t="shared" si="20"/>
        <v>-7479.54</v>
      </c>
      <c r="F50">
        <f t="shared" si="12"/>
        <v>-21957.040000000001</v>
      </c>
      <c r="G50">
        <f t="shared" si="13"/>
        <v>-2057.0300000000002</v>
      </c>
      <c r="H50">
        <f t="shared" si="24"/>
        <v>-188.49</v>
      </c>
      <c r="I50">
        <f t="shared" si="15"/>
        <v>65.933522915657122</v>
      </c>
      <c r="J50">
        <f t="shared" si="16"/>
        <v>34.064427627767671</v>
      </c>
      <c r="K50">
        <f t="shared" si="17"/>
        <v>90.721973212751053</v>
      </c>
      <c r="L50">
        <f t="shared" si="18"/>
        <v>0.77880191186386893</v>
      </c>
      <c r="M50" t="str">
        <f t="shared" si="19"/>
        <v>Efficient</v>
      </c>
      <c r="N50">
        <v>14477.05</v>
      </c>
      <c r="O50">
        <v>7479.54</v>
      </c>
      <c r="P50">
        <v>21957.040000000001</v>
      </c>
      <c r="Q50">
        <v>2057.0300000000002</v>
      </c>
      <c r="R50">
        <v>188.49</v>
      </c>
    </row>
    <row r="51" spans="1:18" s="3" customFormat="1" x14ac:dyDescent="0.3">
      <c r="A51" s="24" t="str">
        <f t="shared" ref="A51:A53" si="26">A21</f>
        <v>20.06.2026</v>
      </c>
      <c r="B51" s="4"/>
    </row>
    <row r="52" spans="1:18" s="3" customFormat="1" x14ac:dyDescent="0.3">
      <c r="A52" s="24" t="str">
        <f t="shared" si="26"/>
        <v>21.06.2026</v>
      </c>
      <c r="B52" s="4"/>
    </row>
    <row r="53" spans="1:18" x14ac:dyDescent="0.3">
      <c r="A53" s="23" t="str">
        <f t="shared" si="26"/>
        <v>22.06.2026</v>
      </c>
      <c r="B53" s="2" t="s">
        <v>49</v>
      </c>
      <c r="C53" t="s">
        <v>19</v>
      </c>
      <c r="D53">
        <v>14532.17</v>
      </c>
      <c r="E53">
        <v>7493.05</v>
      </c>
      <c r="F53">
        <v>2205.23</v>
      </c>
      <c r="G53">
        <v>2057.0300000000002</v>
      </c>
      <c r="H53">
        <v>188.49</v>
      </c>
      <c r="I53">
        <f t="shared" si="15"/>
        <v>658.98659096783558</v>
      </c>
      <c r="J53">
        <f t="shared" si="16"/>
        <v>339.78541920797375</v>
      </c>
      <c r="K53">
        <f t="shared" si="17"/>
        <v>49.547379655114312</v>
      </c>
      <c r="L53">
        <f t="shared" si="18"/>
        <v>4.2350165702409708</v>
      </c>
      <c r="M53" t="str">
        <f t="shared" si="19"/>
        <v>High Unload Loss</v>
      </c>
      <c r="N53">
        <v>14532.17</v>
      </c>
      <c r="O53">
        <v>7493.05</v>
      </c>
      <c r="P53">
        <v>22025.23</v>
      </c>
      <c r="Q53">
        <v>2057.0300000000002</v>
      </c>
      <c r="R53">
        <v>188.49</v>
      </c>
    </row>
    <row r="62" spans="1:18" x14ac:dyDescent="0.3">
      <c r="A62" s="23" t="s">
        <v>0</v>
      </c>
      <c r="B62" s="2" t="s">
        <v>1</v>
      </c>
      <c r="C62" s="1" t="s">
        <v>2</v>
      </c>
      <c r="D62" t="s">
        <v>3</v>
      </c>
      <c r="E62" t="s">
        <v>4</v>
      </c>
      <c r="F62" t="s">
        <v>12</v>
      </c>
      <c r="G62" t="s">
        <v>5</v>
      </c>
      <c r="H62" t="s">
        <v>6</v>
      </c>
      <c r="I62" s="1" t="s">
        <v>7</v>
      </c>
      <c r="J62" t="s">
        <v>8</v>
      </c>
      <c r="K62" t="s">
        <v>9</v>
      </c>
      <c r="L62" t="s">
        <v>10</v>
      </c>
      <c r="M62" t="s">
        <v>11</v>
      </c>
      <c r="N62" t="s">
        <v>15</v>
      </c>
      <c r="O62" t="s">
        <v>14</v>
      </c>
      <c r="P62" t="s">
        <v>13</v>
      </c>
      <c r="Q62" t="s">
        <v>16</v>
      </c>
      <c r="R62" t="s">
        <v>17</v>
      </c>
    </row>
    <row r="63" spans="1:18" x14ac:dyDescent="0.3">
      <c r="A63" s="23" t="str">
        <f>A2</f>
        <v>01.06.2026</v>
      </c>
      <c r="B63" s="2">
        <f t="shared" ref="A63:B74" si="27">B2</f>
        <v>0.41666666666666669</v>
      </c>
      <c r="C63" t="s">
        <v>20</v>
      </c>
      <c r="D63">
        <f>N64-N63</f>
        <v>16.25</v>
      </c>
      <c r="E63">
        <f>O64-O63</f>
        <v>3.8699999999998909</v>
      </c>
      <c r="F63">
        <f>P64-P63</f>
        <v>20.140000000001237</v>
      </c>
      <c r="G63">
        <f>+Q64-Q63</f>
        <v>1.7999999999992724</v>
      </c>
      <c r="H63">
        <f>R64-R63</f>
        <v>0</v>
      </c>
      <c r="I63">
        <f>(D63/F63)*100</f>
        <v>80.685203574970217</v>
      </c>
      <c r="J63">
        <f t="shared" ref="J63:J84" si="28">(E63/F63)*100</f>
        <v>19.215491559084676</v>
      </c>
      <c r="K63">
        <f>(F63/(F63+G63+H63)*100)</f>
        <v>91.795806745673517</v>
      </c>
      <c r="L63">
        <f>(H63/(F63+G63+H63))*100</f>
        <v>0</v>
      </c>
      <c r="M63" t="str">
        <f>IF(J63&gt;40,"High Unload Loss","Efficient")</f>
        <v>Efficient</v>
      </c>
      <c r="N63">
        <v>7358.02</v>
      </c>
      <c r="O63">
        <v>3777.3</v>
      </c>
      <c r="P63">
        <v>11135.3</v>
      </c>
      <c r="Q63">
        <v>6277.56</v>
      </c>
      <c r="R63">
        <v>173.37</v>
      </c>
    </row>
    <row r="64" spans="1:18" x14ac:dyDescent="0.3">
      <c r="A64" s="23" t="str">
        <f t="shared" si="27"/>
        <v>02.06.2026</v>
      </c>
      <c r="B64" s="2">
        <f t="shared" si="27"/>
        <v>0.41666666666666669</v>
      </c>
      <c r="C64" t="s">
        <v>20</v>
      </c>
      <c r="D64">
        <f t="shared" ref="D64:D84" si="29">N65-N64</f>
        <v>17.289999999999964</v>
      </c>
      <c r="E64">
        <f>O65-O64</f>
        <v>3.2100000000000364</v>
      </c>
      <c r="F64">
        <f t="shared" ref="F64:F84" si="30">P65-P64</f>
        <v>20.899999999999636</v>
      </c>
      <c r="G64">
        <f t="shared" ref="G64:G84" si="31">+Q65-Q64</f>
        <v>0.88000000000010914</v>
      </c>
      <c r="H64">
        <f t="shared" ref="H64:H84" si="32">R65-R64</f>
        <v>0</v>
      </c>
      <c r="I64">
        <f t="shared" ref="I64:I84" si="33">(D64/F64)*100</f>
        <v>82.727272727273998</v>
      </c>
      <c r="J64">
        <f t="shared" si="28"/>
        <v>15.35885167464159</v>
      </c>
      <c r="K64">
        <f t="shared" ref="K64:K84" si="34">(F64/(F64+G64+H64)*100)</f>
        <v>95.959595959595418</v>
      </c>
      <c r="L64">
        <f t="shared" ref="L64:L84" si="35">(H64/(F64+G64+H64))*100</f>
        <v>0</v>
      </c>
      <c r="M64" t="str">
        <f t="shared" ref="M64:M84" si="36">IF(J64&gt;40,"High Unload Loss","Efficient")</f>
        <v>Efficient</v>
      </c>
      <c r="N64">
        <v>7374.27</v>
      </c>
      <c r="O64">
        <v>3781.17</v>
      </c>
      <c r="P64">
        <v>11155.44</v>
      </c>
      <c r="Q64">
        <v>6279.36</v>
      </c>
      <c r="R64">
        <v>173.37</v>
      </c>
    </row>
    <row r="65" spans="1:18" x14ac:dyDescent="0.3">
      <c r="A65" s="23" t="str">
        <f t="shared" si="27"/>
        <v>03.06.2026</v>
      </c>
      <c r="B65" s="2">
        <f t="shared" si="27"/>
        <v>0.41666666666666669</v>
      </c>
      <c r="C65" t="s">
        <v>20</v>
      </c>
      <c r="D65">
        <f t="shared" si="29"/>
        <v>18.589999999999236</v>
      </c>
      <c r="E65">
        <f t="shared" ref="E65:E84" si="37">O66-O65</f>
        <v>3.8899999999998727</v>
      </c>
      <c r="F65">
        <f t="shared" si="30"/>
        <v>22.079999999999927</v>
      </c>
      <c r="G65">
        <f t="shared" si="31"/>
        <v>0.25</v>
      </c>
      <c r="H65">
        <f t="shared" si="32"/>
        <v>0</v>
      </c>
      <c r="I65">
        <f t="shared" si="33"/>
        <v>84.193840579706958</v>
      </c>
      <c r="J65">
        <f t="shared" si="28"/>
        <v>17.617753623187888</v>
      </c>
      <c r="K65">
        <f t="shared" si="34"/>
        <v>98.880429914912668</v>
      </c>
      <c r="L65">
        <f t="shared" si="35"/>
        <v>0</v>
      </c>
      <c r="M65" t="str">
        <f t="shared" si="36"/>
        <v>Efficient</v>
      </c>
      <c r="N65">
        <v>7391.56</v>
      </c>
      <c r="O65">
        <v>3784.38</v>
      </c>
      <c r="P65">
        <v>11176.34</v>
      </c>
      <c r="Q65">
        <v>6280.24</v>
      </c>
      <c r="R65">
        <v>173.37</v>
      </c>
    </row>
    <row r="66" spans="1:18" x14ac:dyDescent="0.3">
      <c r="A66" s="23" t="str">
        <f t="shared" si="27"/>
        <v>04.06.2026</v>
      </c>
      <c r="B66" s="2">
        <f t="shared" si="27"/>
        <v>0.41666666666666669</v>
      </c>
      <c r="C66" t="s">
        <v>20</v>
      </c>
      <c r="D66">
        <f t="shared" si="29"/>
        <v>18.190000000000509</v>
      </c>
      <c r="E66">
        <f t="shared" si="37"/>
        <v>3.0700000000001637</v>
      </c>
      <c r="F66">
        <f t="shared" si="30"/>
        <v>21.659999999999854</v>
      </c>
      <c r="G66">
        <f t="shared" si="31"/>
        <v>1.0000000000218279E-2</v>
      </c>
      <c r="H66">
        <f t="shared" si="32"/>
        <v>0</v>
      </c>
      <c r="I66">
        <f t="shared" si="33"/>
        <v>83.9796860572513</v>
      </c>
      <c r="J66">
        <f t="shared" si="28"/>
        <v>14.173591874423749</v>
      </c>
      <c r="K66">
        <f t="shared" si="34"/>
        <v>99.953853253344633</v>
      </c>
      <c r="L66">
        <f t="shared" si="35"/>
        <v>0</v>
      </c>
      <c r="M66" t="str">
        <f t="shared" si="36"/>
        <v>Efficient</v>
      </c>
      <c r="N66">
        <v>7410.15</v>
      </c>
      <c r="O66">
        <v>3788.27</v>
      </c>
      <c r="P66">
        <v>11198.42</v>
      </c>
      <c r="Q66">
        <v>6280.49</v>
      </c>
      <c r="R66">
        <v>173.37</v>
      </c>
    </row>
    <row r="67" spans="1:18" x14ac:dyDescent="0.3">
      <c r="A67" s="23" t="str">
        <f t="shared" si="27"/>
        <v>05.06.2026</v>
      </c>
      <c r="B67" s="2">
        <f t="shared" si="27"/>
        <v>0.41666666666666669</v>
      </c>
      <c r="C67" t="s">
        <v>20</v>
      </c>
      <c r="D67">
        <f t="shared" si="29"/>
        <v>-7428.34</v>
      </c>
      <c r="E67">
        <f t="shared" si="37"/>
        <v>-3791.34</v>
      </c>
      <c r="F67">
        <f t="shared" si="30"/>
        <v>-11220.08</v>
      </c>
      <c r="G67">
        <f t="shared" si="31"/>
        <v>-6280.5</v>
      </c>
      <c r="H67">
        <f t="shared" si="32"/>
        <v>-173.37</v>
      </c>
      <c r="I67">
        <f t="shared" si="33"/>
        <v>66.205766803801751</v>
      </c>
      <c r="J67">
        <f t="shared" si="28"/>
        <v>33.790668159228815</v>
      </c>
      <c r="K67">
        <f t="shared" si="34"/>
        <v>63.483714732699816</v>
      </c>
      <c r="L67">
        <f t="shared" si="35"/>
        <v>0.98093521821664087</v>
      </c>
      <c r="M67" t="str">
        <f t="shared" si="36"/>
        <v>Efficient</v>
      </c>
      <c r="N67">
        <v>7428.34</v>
      </c>
      <c r="O67">
        <v>3791.34</v>
      </c>
      <c r="P67">
        <v>11220.08</v>
      </c>
      <c r="Q67">
        <v>6280.5</v>
      </c>
      <c r="R67">
        <v>173.37</v>
      </c>
    </row>
    <row r="68" spans="1:18" s="3" customFormat="1" x14ac:dyDescent="0.3">
      <c r="A68" s="24" t="str">
        <f t="shared" si="27"/>
        <v>06.06.2026</v>
      </c>
      <c r="B68" s="4">
        <f t="shared" si="27"/>
        <v>0.41666666666666669</v>
      </c>
      <c r="D68">
        <f t="shared" si="29"/>
        <v>0</v>
      </c>
    </row>
    <row r="69" spans="1:18" s="3" customFormat="1" x14ac:dyDescent="0.3">
      <c r="A69" s="24" t="str">
        <f t="shared" si="27"/>
        <v>07.06.2026</v>
      </c>
      <c r="B69" s="4">
        <f t="shared" si="27"/>
        <v>0.41666666666666669</v>
      </c>
      <c r="D69">
        <f t="shared" si="29"/>
        <v>7466.01</v>
      </c>
    </row>
    <row r="70" spans="1:18" x14ac:dyDescent="0.3">
      <c r="A70" s="23" t="str">
        <f t="shared" si="27"/>
        <v>08.06.2026</v>
      </c>
      <c r="B70" s="2">
        <f t="shared" si="27"/>
        <v>0.41666666666666669</v>
      </c>
      <c r="C70" t="s">
        <v>20</v>
      </c>
      <c r="D70">
        <f t="shared" si="29"/>
        <v>14.279999999999745</v>
      </c>
      <c r="E70">
        <f t="shared" si="37"/>
        <v>6.830000000000382</v>
      </c>
      <c r="F70">
        <f t="shared" si="30"/>
        <v>21.510000000000218</v>
      </c>
      <c r="G70">
        <f t="shared" si="31"/>
        <v>0</v>
      </c>
      <c r="H70">
        <f>S71-R70</f>
        <v>-173.37</v>
      </c>
      <c r="I70">
        <f t="shared" si="33"/>
        <v>66.3877266387708</v>
      </c>
      <c r="J70">
        <f t="shared" si="28"/>
        <v>31.752673175268768</v>
      </c>
      <c r="K70">
        <f t="shared" si="34"/>
        <v>-14.164361912287799</v>
      </c>
      <c r="L70">
        <f t="shared" si="35"/>
        <v>114.1643619122878</v>
      </c>
      <c r="M70" t="str">
        <f t="shared" si="36"/>
        <v>Efficient</v>
      </c>
      <c r="N70">
        <v>7466.01</v>
      </c>
      <c r="O70">
        <v>3797.49</v>
      </c>
      <c r="P70">
        <v>11263.5</v>
      </c>
      <c r="Q70">
        <v>6305.42</v>
      </c>
      <c r="R70">
        <v>173.37</v>
      </c>
    </row>
    <row r="71" spans="1:18" x14ac:dyDescent="0.3">
      <c r="A71" s="23" t="str">
        <f t="shared" si="27"/>
        <v>09.06.2026</v>
      </c>
      <c r="B71" s="2">
        <f t="shared" si="27"/>
        <v>0.41666666666666669</v>
      </c>
      <c r="C71" t="s">
        <v>20</v>
      </c>
      <c r="D71">
        <f t="shared" si="29"/>
        <v>18.25</v>
      </c>
      <c r="E71">
        <f t="shared" si="37"/>
        <v>4.7399999999997817</v>
      </c>
      <c r="F71">
        <f t="shared" si="30"/>
        <v>22.989999999999782</v>
      </c>
      <c r="G71">
        <f t="shared" si="31"/>
        <v>0</v>
      </c>
      <c r="H71">
        <f>R72-S71</f>
        <v>173.37</v>
      </c>
      <c r="I71">
        <f t="shared" si="33"/>
        <v>79.382340147891142</v>
      </c>
      <c r="J71">
        <f t="shared" si="28"/>
        <v>20.617659852108861</v>
      </c>
      <c r="K71">
        <f t="shared" si="34"/>
        <v>11.708087186799657</v>
      </c>
      <c r="L71">
        <f t="shared" si="35"/>
        <v>88.291912813200341</v>
      </c>
      <c r="M71" t="str">
        <f t="shared" si="36"/>
        <v>Efficient</v>
      </c>
      <c r="N71">
        <v>7480.29</v>
      </c>
      <c r="O71">
        <v>3804.32</v>
      </c>
      <c r="P71">
        <v>11285.01</v>
      </c>
      <c r="Q71">
        <v>6305.42</v>
      </c>
      <c r="R71">
        <v>173.37</v>
      </c>
    </row>
    <row r="72" spans="1:18" x14ac:dyDescent="0.3">
      <c r="A72" s="23" t="str">
        <f t="shared" si="27"/>
        <v>10.06.2026</v>
      </c>
      <c r="B72" s="2">
        <f t="shared" si="27"/>
        <v>0.41666666666666669</v>
      </c>
      <c r="C72" t="s">
        <v>20</v>
      </c>
      <c r="D72">
        <f t="shared" si="29"/>
        <v>15.819999999999709</v>
      </c>
      <c r="E72">
        <f t="shared" si="37"/>
        <v>7.0999999999999091</v>
      </c>
      <c r="F72">
        <f t="shared" si="30"/>
        <v>22.520000000000437</v>
      </c>
      <c r="G72">
        <f t="shared" si="31"/>
        <v>0</v>
      </c>
      <c r="H72">
        <f t="shared" si="32"/>
        <v>0</v>
      </c>
      <c r="I72">
        <f t="shared" si="33"/>
        <v>70.248667850796636</v>
      </c>
      <c r="J72">
        <f t="shared" si="28"/>
        <v>31.527531083480337</v>
      </c>
      <c r="K72">
        <f t="shared" si="34"/>
        <v>100</v>
      </c>
      <c r="L72">
        <f t="shared" si="35"/>
        <v>0</v>
      </c>
      <c r="M72" t="str">
        <f t="shared" si="36"/>
        <v>Efficient</v>
      </c>
      <c r="N72">
        <v>7498.54</v>
      </c>
      <c r="O72">
        <v>3809.06</v>
      </c>
      <c r="P72">
        <v>11308</v>
      </c>
      <c r="Q72">
        <v>6305.42</v>
      </c>
      <c r="R72">
        <v>173.37</v>
      </c>
    </row>
    <row r="73" spans="1:18" x14ac:dyDescent="0.3">
      <c r="A73" s="23" t="str">
        <f t="shared" si="27"/>
        <v>11.06.2026</v>
      </c>
      <c r="B73" s="2">
        <f t="shared" si="27"/>
        <v>0.41666666666666669</v>
      </c>
      <c r="C73" t="s">
        <v>20</v>
      </c>
      <c r="D73">
        <f t="shared" si="29"/>
        <v>15.680000000000291</v>
      </c>
      <c r="E73">
        <f t="shared" si="37"/>
        <v>7.0799999999999272</v>
      </c>
      <c r="F73">
        <f t="shared" si="30"/>
        <v>22.760000000000218</v>
      </c>
      <c r="G73">
        <f t="shared" si="31"/>
        <v>0</v>
      </c>
      <c r="H73">
        <f t="shared" si="32"/>
        <v>0</v>
      </c>
      <c r="I73">
        <f>D73</f>
        <v>15.680000000000291</v>
      </c>
      <c r="J73">
        <f t="shared" si="28"/>
        <v>31.107205623900963</v>
      </c>
      <c r="K73">
        <f t="shared" si="34"/>
        <v>100</v>
      </c>
      <c r="L73">
        <f t="shared" si="35"/>
        <v>0</v>
      </c>
      <c r="M73" t="str">
        <f t="shared" si="36"/>
        <v>Efficient</v>
      </c>
      <c r="N73">
        <v>7514.36</v>
      </c>
      <c r="O73">
        <v>3816.16</v>
      </c>
      <c r="P73">
        <v>11330.52</v>
      </c>
      <c r="Q73">
        <v>6305.42</v>
      </c>
      <c r="R73">
        <v>173.37</v>
      </c>
    </row>
    <row r="74" spans="1:18" x14ac:dyDescent="0.3">
      <c r="A74" s="23" t="str">
        <f t="shared" si="27"/>
        <v>12.06.2026</v>
      </c>
      <c r="B74" s="2">
        <f t="shared" si="27"/>
        <v>0.41666666666666669</v>
      </c>
      <c r="C74" t="s">
        <v>20</v>
      </c>
      <c r="D74">
        <f t="shared" si="29"/>
        <v>-7530.04</v>
      </c>
      <c r="E74">
        <f t="shared" si="37"/>
        <v>-3823.24</v>
      </c>
      <c r="F74">
        <f t="shared" si="30"/>
        <v>-11353.28</v>
      </c>
      <c r="G74">
        <f t="shared" si="31"/>
        <v>-6305.42</v>
      </c>
      <c r="H74">
        <f t="shared" si="32"/>
        <v>-173.37</v>
      </c>
      <c r="I74">
        <f t="shared" si="33"/>
        <v>66.324797767693568</v>
      </c>
      <c r="J74">
        <f t="shared" si="28"/>
        <v>33.675202232306425</v>
      </c>
      <c r="K74">
        <f t="shared" si="34"/>
        <v>63.667762632156567</v>
      </c>
      <c r="L74">
        <f t="shared" si="35"/>
        <v>0.97223709866549424</v>
      </c>
      <c r="M74" t="str">
        <f t="shared" si="36"/>
        <v>Efficient</v>
      </c>
      <c r="N74">
        <v>7530.04</v>
      </c>
      <c r="O74">
        <v>3823.24</v>
      </c>
      <c r="P74">
        <v>11353.28</v>
      </c>
      <c r="Q74">
        <v>6305.42</v>
      </c>
      <c r="R74">
        <v>173.37</v>
      </c>
    </row>
    <row r="75" spans="1:18" s="5" customFormat="1" x14ac:dyDescent="0.3">
      <c r="A75" s="25" t="s">
        <v>47</v>
      </c>
      <c r="B75" s="6" t="s">
        <v>49</v>
      </c>
      <c r="C75" s="5" t="s">
        <v>59</v>
      </c>
      <c r="D75">
        <f t="shared" si="29"/>
        <v>0</v>
      </c>
    </row>
    <row r="76" spans="1:18" s="5" customFormat="1" x14ac:dyDescent="0.3">
      <c r="A76" s="25" t="s">
        <v>48</v>
      </c>
      <c r="B76" s="6" t="s">
        <v>49</v>
      </c>
      <c r="D76">
        <f t="shared" si="29"/>
        <v>7559.45</v>
      </c>
    </row>
    <row r="77" spans="1:18" x14ac:dyDescent="0.3">
      <c r="A77" s="23" t="s">
        <v>46</v>
      </c>
      <c r="B77" s="2" t="s">
        <v>49</v>
      </c>
      <c r="C77" t="s">
        <v>20</v>
      </c>
      <c r="D77">
        <f t="shared" si="29"/>
        <v>20.600000000000364</v>
      </c>
      <c r="E77">
        <f t="shared" si="37"/>
        <v>3.7000000000002728</v>
      </c>
      <c r="F77">
        <f t="shared" si="30"/>
        <v>28.899999999999636</v>
      </c>
      <c r="G77">
        <f t="shared" si="31"/>
        <v>0</v>
      </c>
      <c r="H77">
        <f t="shared" si="32"/>
        <v>0</v>
      </c>
      <c r="I77">
        <f t="shared" si="33"/>
        <v>71.280276816611149</v>
      </c>
      <c r="J77">
        <f t="shared" si="28"/>
        <v>12.802768166091072</v>
      </c>
      <c r="K77">
        <f t="shared" si="34"/>
        <v>100</v>
      </c>
      <c r="L77">
        <f t="shared" si="35"/>
        <v>0</v>
      </c>
      <c r="M77" t="str">
        <f t="shared" si="36"/>
        <v>Efficient</v>
      </c>
      <c r="N77">
        <v>7559.45</v>
      </c>
      <c r="O77">
        <v>3838.43</v>
      </c>
      <c r="P77">
        <v>11393.28</v>
      </c>
      <c r="Q77">
        <v>6321.06</v>
      </c>
      <c r="R77">
        <v>173.37</v>
      </c>
    </row>
    <row r="78" spans="1:18" x14ac:dyDescent="0.3">
      <c r="A78" s="23" t="s">
        <v>51</v>
      </c>
      <c r="B78" s="2" t="s">
        <v>49</v>
      </c>
      <c r="C78" t="s">
        <v>20</v>
      </c>
      <c r="D78">
        <f t="shared" si="29"/>
        <v>21.099999999999454</v>
      </c>
      <c r="E78">
        <f t="shared" si="37"/>
        <v>2.3899999999998727</v>
      </c>
      <c r="F78">
        <f t="shared" si="30"/>
        <v>23.850000000000364</v>
      </c>
      <c r="G78">
        <f t="shared" si="31"/>
        <v>0</v>
      </c>
      <c r="H78">
        <f t="shared" si="32"/>
        <v>0</v>
      </c>
      <c r="I78">
        <f t="shared" si="33"/>
        <v>88.469601677145207</v>
      </c>
      <c r="J78">
        <f t="shared" si="28"/>
        <v>10.020964360586316</v>
      </c>
      <c r="K78">
        <f t="shared" si="34"/>
        <v>100</v>
      </c>
      <c r="L78">
        <f t="shared" si="35"/>
        <v>0</v>
      </c>
      <c r="M78" t="str">
        <f t="shared" si="36"/>
        <v>Efficient</v>
      </c>
      <c r="N78">
        <v>7580.05</v>
      </c>
      <c r="O78">
        <v>3842.13</v>
      </c>
      <c r="P78">
        <v>11422.18</v>
      </c>
      <c r="Q78">
        <v>6321.06</v>
      </c>
      <c r="R78">
        <v>173.37</v>
      </c>
    </row>
    <row r="79" spans="1:18" x14ac:dyDescent="0.3">
      <c r="A79" s="23" t="s">
        <v>52</v>
      </c>
      <c r="B79" s="2" t="s">
        <v>49</v>
      </c>
      <c r="C79" t="s">
        <v>20</v>
      </c>
      <c r="D79">
        <f t="shared" si="29"/>
        <v>19.320000000000618</v>
      </c>
      <c r="E79">
        <f t="shared" si="37"/>
        <v>4.6799999999998363</v>
      </c>
      <c r="F79">
        <f t="shared" si="30"/>
        <v>24.039999999999054</v>
      </c>
      <c r="G79">
        <f t="shared" si="31"/>
        <v>0</v>
      </c>
      <c r="H79">
        <f t="shared" si="32"/>
        <v>0</v>
      </c>
      <c r="I79">
        <f t="shared" si="33"/>
        <v>80.366056572385105</v>
      </c>
      <c r="J79">
        <f t="shared" si="28"/>
        <v>19.467554076539187</v>
      </c>
      <c r="K79">
        <f t="shared" si="34"/>
        <v>100</v>
      </c>
      <c r="L79">
        <f t="shared" si="35"/>
        <v>0</v>
      </c>
      <c r="M79" t="str">
        <f t="shared" si="36"/>
        <v>Efficient</v>
      </c>
      <c r="N79">
        <v>7601.15</v>
      </c>
      <c r="O79">
        <v>3844.52</v>
      </c>
      <c r="P79">
        <v>11446.03</v>
      </c>
      <c r="Q79">
        <v>6321.06</v>
      </c>
      <c r="R79">
        <v>173.37</v>
      </c>
    </row>
    <row r="80" spans="1:18" x14ac:dyDescent="0.3">
      <c r="A80" s="23" t="s">
        <v>53</v>
      </c>
      <c r="B80" s="2" t="s">
        <v>49</v>
      </c>
      <c r="C80" t="s">
        <v>20</v>
      </c>
      <c r="D80">
        <f t="shared" si="29"/>
        <v>20.920000000000073</v>
      </c>
      <c r="E80">
        <f t="shared" si="37"/>
        <v>2.9500000000002728</v>
      </c>
      <c r="F80">
        <f t="shared" si="30"/>
        <v>23.470000000001164</v>
      </c>
      <c r="G80">
        <f t="shared" si="31"/>
        <v>0</v>
      </c>
      <c r="H80">
        <f t="shared" si="32"/>
        <v>0</v>
      </c>
      <c r="I80">
        <f t="shared" si="33"/>
        <v>89.135066041751315</v>
      </c>
      <c r="J80">
        <f t="shared" si="28"/>
        <v>12.569237324244254</v>
      </c>
      <c r="K80">
        <f t="shared" si="34"/>
        <v>100</v>
      </c>
      <c r="L80">
        <f t="shared" si="35"/>
        <v>0</v>
      </c>
      <c r="M80" t="str">
        <f t="shared" si="36"/>
        <v>Efficient</v>
      </c>
      <c r="N80">
        <v>7620.47</v>
      </c>
      <c r="O80">
        <v>3849.2</v>
      </c>
      <c r="P80">
        <v>11470.07</v>
      </c>
      <c r="Q80">
        <v>6321.06</v>
      </c>
      <c r="R80">
        <v>173.37</v>
      </c>
    </row>
    <row r="81" spans="1:18" x14ac:dyDescent="0.3">
      <c r="A81" s="23" t="s">
        <v>54</v>
      </c>
      <c r="B81" s="2" t="s">
        <v>49</v>
      </c>
      <c r="C81" t="s">
        <v>20</v>
      </c>
      <c r="D81">
        <f t="shared" si="29"/>
        <v>-7641.39</v>
      </c>
      <c r="E81">
        <f t="shared" si="37"/>
        <v>-3852.15</v>
      </c>
      <c r="F81">
        <f t="shared" si="30"/>
        <v>-11493.54</v>
      </c>
      <c r="G81">
        <f t="shared" si="31"/>
        <v>-6321.06</v>
      </c>
      <c r="H81">
        <f t="shared" si="32"/>
        <v>-173.37</v>
      </c>
      <c r="I81">
        <f t="shared" si="33"/>
        <v>66.484216351098098</v>
      </c>
      <c r="J81">
        <f t="shared" si="28"/>
        <v>33.515783648901902</v>
      </c>
      <c r="K81">
        <f t="shared" si="34"/>
        <v>63.895703628591768</v>
      </c>
      <c r="L81">
        <f t="shared" si="35"/>
        <v>0.96381081356039611</v>
      </c>
      <c r="M81" t="str">
        <f t="shared" si="36"/>
        <v>Efficient</v>
      </c>
      <c r="N81">
        <v>7641.39</v>
      </c>
      <c r="O81">
        <v>3852.15</v>
      </c>
      <c r="P81">
        <v>11493.54</v>
      </c>
      <c r="Q81">
        <v>6321.06</v>
      </c>
      <c r="R81">
        <v>173.37</v>
      </c>
    </row>
    <row r="82" spans="1:18" s="3" customFormat="1" x14ac:dyDescent="0.3">
      <c r="A82" s="24" t="s">
        <v>56</v>
      </c>
      <c r="B82" s="2" t="s">
        <v>49</v>
      </c>
    </row>
    <row r="83" spans="1:18" s="3" customFormat="1" x14ac:dyDescent="0.3">
      <c r="A83" s="24" t="s">
        <v>57</v>
      </c>
      <c r="B83" s="2" t="s">
        <v>49</v>
      </c>
    </row>
    <row r="84" spans="1:18" x14ac:dyDescent="0.3">
      <c r="A84" s="23" t="s">
        <v>58</v>
      </c>
      <c r="B84" s="2" t="s">
        <v>49</v>
      </c>
      <c r="C84" t="s">
        <v>20</v>
      </c>
      <c r="D84">
        <f t="shared" si="29"/>
        <v>-7692.44</v>
      </c>
      <c r="E84">
        <f t="shared" si="37"/>
        <v>-3871.57</v>
      </c>
      <c r="F84">
        <f t="shared" si="30"/>
        <v>-11564.41</v>
      </c>
      <c r="G84">
        <f t="shared" si="31"/>
        <v>-6321.41</v>
      </c>
      <c r="H84">
        <f t="shared" si="32"/>
        <v>-173.37</v>
      </c>
      <c r="I84">
        <f t="shared" si="33"/>
        <v>66.518222719533455</v>
      </c>
      <c r="J84">
        <f t="shared" si="28"/>
        <v>33.478318392378</v>
      </c>
      <c r="K84">
        <f t="shared" si="34"/>
        <v>64.036150015587637</v>
      </c>
      <c r="L84">
        <f t="shared" si="35"/>
        <v>0.96000983432811771</v>
      </c>
      <c r="M84" t="str">
        <f t="shared" si="36"/>
        <v>Efficient</v>
      </c>
      <c r="N84">
        <v>7692.44</v>
      </c>
      <c r="O84">
        <v>3871.57</v>
      </c>
      <c r="P84">
        <v>11564.41</v>
      </c>
      <c r="Q84">
        <v>6321.41</v>
      </c>
      <c r="R84">
        <v>173.37</v>
      </c>
    </row>
    <row r="93" spans="1:18" x14ac:dyDescent="0.3">
      <c r="A93" s="23" t="s">
        <v>0</v>
      </c>
      <c r="B93" s="2" t="s">
        <v>1</v>
      </c>
      <c r="C93" s="1" t="s">
        <v>2</v>
      </c>
      <c r="D93" t="s">
        <v>3</v>
      </c>
      <c r="E93" t="s">
        <v>4</v>
      </c>
      <c r="F93" t="s">
        <v>12</v>
      </c>
      <c r="G93" t="s">
        <v>5</v>
      </c>
      <c r="H93" t="s">
        <v>6</v>
      </c>
      <c r="I93" s="1" t="s">
        <v>7</v>
      </c>
      <c r="J93" t="s">
        <v>8</v>
      </c>
      <c r="K93" t="s">
        <v>9</v>
      </c>
      <c r="L93" t="s">
        <v>10</v>
      </c>
      <c r="M93" t="s">
        <v>11</v>
      </c>
      <c r="N93" t="s">
        <v>15</v>
      </c>
      <c r="O93" t="s">
        <v>14</v>
      </c>
      <c r="P93" t="s">
        <v>13</v>
      </c>
      <c r="Q93" t="s">
        <v>16</v>
      </c>
      <c r="R93" t="s">
        <v>17</v>
      </c>
    </row>
    <row r="94" spans="1:18" x14ac:dyDescent="0.3">
      <c r="A94" s="23" t="str">
        <f t="shared" ref="A94:B105" si="38">A2</f>
        <v>01.06.2026</v>
      </c>
      <c r="B94" s="2">
        <f t="shared" si="38"/>
        <v>0.41666666666666669</v>
      </c>
      <c r="C94" t="s">
        <v>21</v>
      </c>
      <c r="D94">
        <f>N95-N94</f>
        <v>11.569999999999709</v>
      </c>
      <c r="E94">
        <f>O95-O94</f>
        <v>0.16000000000349246</v>
      </c>
      <c r="F94">
        <f>P95-P94</f>
        <v>11.319999999999709</v>
      </c>
      <c r="G94">
        <f>+Q95-Q94</f>
        <v>1.069999999999709</v>
      </c>
      <c r="H94">
        <f>R95-R94</f>
        <v>11.180000000000291</v>
      </c>
      <c r="I94">
        <f>(D94/F94)*100</f>
        <v>102.20848056537109</v>
      </c>
      <c r="J94">
        <f>(E94/F94)*100</f>
        <v>1.4134275618683443</v>
      </c>
      <c r="K94">
        <f>(F94/(F94+G94+H94)*100)</f>
        <v>48.027153160796985</v>
      </c>
      <c r="L94">
        <f>(H94/(F94+G94+H94))*100</f>
        <v>47.43317776835142</v>
      </c>
      <c r="M94" t="str">
        <f>IF(J94&gt;40,"High Unload Loss","Efficient")</f>
        <v>Efficient</v>
      </c>
      <c r="N94">
        <v>31561.46</v>
      </c>
      <c r="O94">
        <v>19092.169999999998</v>
      </c>
      <c r="P94">
        <v>50654.04</v>
      </c>
      <c r="Q94">
        <v>13872.27</v>
      </c>
      <c r="R94">
        <v>4625.25</v>
      </c>
    </row>
    <row r="95" spans="1:18" x14ac:dyDescent="0.3">
      <c r="A95" s="23" t="str">
        <f t="shared" si="38"/>
        <v>02.06.2026</v>
      </c>
      <c r="B95" s="2">
        <f t="shared" si="38"/>
        <v>0.41666666666666669</v>
      </c>
      <c r="C95" t="s">
        <v>21</v>
      </c>
      <c r="D95">
        <f t="shared" ref="D95:D115" si="39">N96-N95</f>
        <v>7.4000000000014552</v>
      </c>
      <c r="E95">
        <f t="shared" ref="E95:E115" si="40">O96-O95</f>
        <v>0.13999999999941792</v>
      </c>
      <c r="F95">
        <f t="shared" ref="F95:F115" si="41">P96-P95</f>
        <v>7.9400000000023283</v>
      </c>
      <c r="G95">
        <f t="shared" ref="G95:G115" si="42">+Q96-Q95</f>
        <v>11.780000000000655</v>
      </c>
      <c r="H95">
        <f t="shared" ref="H95:H115" si="43">R96-R95</f>
        <v>4.0900000000001455</v>
      </c>
      <c r="I95">
        <f t="shared" ref="I95:I115" si="44">(D95/F95)*100</f>
        <v>93.19899244331593</v>
      </c>
      <c r="J95">
        <f t="shared" ref="J95:J115" si="45">(E95/F95)*100</f>
        <v>1.7632241813523537</v>
      </c>
      <c r="K95">
        <f t="shared" ref="K95:K115" si="46">(F95/(F95+G95+H95)*100)</f>
        <v>33.347333053344329</v>
      </c>
      <c r="L95">
        <f t="shared" ref="L95:L115" si="47">(H95/(F95+G95+H95))*100</f>
        <v>17.177656446869417</v>
      </c>
      <c r="M95" t="str">
        <f t="shared" ref="M95:M115" si="48">IF(J95&gt;40,"High Unload Loss","Efficient")</f>
        <v>Efficient</v>
      </c>
      <c r="N95">
        <v>31573.03</v>
      </c>
      <c r="O95">
        <v>19092.330000000002</v>
      </c>
      <c r="P95">
        <v>50665.36</v>
      </c>
      <c r="Q95">
        <v>13873.34</v>
      </c>
      <c r="R95">
        <v>4636.43</v>
      </c>
    </row>
    <row r="96" spans="1:18" x14ac:dyDescent="0.3">
      <c r="A96" s="23" t="str">
        <f t="shared" si="38"/>
        <v>03.06.2026</v>
      </c>
      <c r="B96" s="2">
        <f t="shared" si="38"/>
        <v>0.41666666666666669</v>
      </c>
      <c r="C96" t="s">
        <v>21</v>
      </c>
      <c r="D96">
        <f t="shared" si="39"/>
        <v>15.869999999998981</v>
      </c>
      <c r="E96">
        <f t="shared" si="40"/>
        <v>0.57999999999810825</v>
      </c>
      <c r="F96">
        <f t="shared" si="41"/>
        <v>16.049999999995634</v>
      </c>
      <c r="G96">
        <f t="shared" si="42"/>
        <v>6.9899999999997817</v>
      </c>
      <c r="H96">
        <f t="shared" si="43"/>
        <v>0</v>
      </c>
      <c r="I96">
        <f t="shared" si="44"/>
        <v>98.878504672917742</v>
      </c>
      <c r="J96">
        <f t="shared" si="45"/>
        <v>3.6137071650982304</v>
      </c>
      <c r="K96">
        <f t="shared" si="46"/>
        <v>69.661458333328241</v>
      </c>
      <c r="L96">
        <f t="shared" si="47"/>
        <v>0</v>
      </c>
      <c r="M96" t="str">
        <f t="shared" si="48"/>
        <v>Efficient</v>
      </c>
      <c r="N96">
        <v>31580.43</v>
      </c>
      <c r="O96">
        <v>19092.47</v>
      </c>
      <c r="P96">
        <v>50673.3</v>
      </c>
      <c r="Q96">
        <v>13885.12</v>
      </c>
      <c r="R96">
        <v>4640.5200000000004</v>
      </c>
    </row>
    <row r="97" spans="1:18" x14ac:dyDescent="0.3">
      <c r="A97" s="23" t="str">
        <f t="shared" si="38"/>
        <v>04.06.2026</v>
      </c>
      <c r="B97" s="2">
        <f t="shared" si="38"/>
        <v>0.41666666666666669</v>
      </c>
      <c r="C97" t="s">
        <v>21</v>
      </c>
      <c r="D97">
        <f t="shared" si="39"/>
        <v>12.069999999999709</v>
      </c>
      <c r="E97">
        <f t="shared" si="40"/>
        <v>0.10000000000218279</v>
      </c>
      <c r="F97">
        <f t="shared" si="41"/>
        <v>12.169999999998254</v>
      </c>
      <c r="G97">
        <f t="shared" si="42"/>
        <v>8</v>
      </c>
      <c r="H97">
        <f t="shared" si="43"/>
        <v>0</v>
      </c>
      <c r="I97">
        <f t="shared" si="44"/>
        <v>99.178307313076758</v>
      </c>
      <c r="J97">
        <f t="shared" si="45"/>
        <v>0.82169268695313991</v>
      </c>
      <c r="K97">
        <f t="shared" si="46"/>
        <v>60.337134357953929</v>
      </c>
      <c r="L97">
        <f t="shared" si="47"/>
        <v>0</v>
      </c>
      <c r="M97" t="str">
        <f t="shared" si="48"/>
        <v>Efficient</v>
      </c>
      <c r="N97">
        <v>31596.3</v>
      </c>
      <c r="O97">
        <v>19093.05</v>
      </c>
      <c r="P97">
        <v>50689.35</v>
      </c>
      <c r="Q97">
        <v>13892.11</v>
      </c>
      <c r="R97">
        <v>4640.5200000000004</v>
      </c>
    </row>
    <row r="98" spans="1:18" x14ac:dyDescent="0.3">
      <c r="A98" s="23" t="str">
        <f t="shared" si="38"/>
        <v>05.06.2026</v>
      </c>
      <c r="B98" s="2">
        <f t="shared" si="38"/>
        <v>0.41666666666666669</v>
      </c>
      <c r="C98" t="s">
        <v>21</v>
      </c>
      <c r="D98">
        <f t="shared" si="39"/>
        <v>-31608.37</v>
      </c>
      <c r="E98">
        <f t="shared" si="40"/>
        <v>-19093.150000000001</v>
      </c>
      <c r="F98">
        <f t="shared" si="41"/>
        <v>-50701.52</v>
      </c>
      <c r="G98">
        <f t="shared" si="42"/>
        <v>-13900.11</v>
      </c>
      <c r="H98">
        <f t="shared" si="43"/>
        <v>-4640.5200000000004</v>
      </c>
      <c r="I98">
        <f t="shared" si="44"/>
        <v>62.342056017255501</v>
      </c>
      <c r="J98">
        <f t="shared" si="45"/>
        <v>37.657943982744506</v>
      </c>
      <c r="K98">
        <f t="shared" si="46"/>
        <v>73.223491760437838</v>
      </c>
      <c r="L98">
        <f t="shared" si="47"/>
        <v>6.7018716201042299</v>
      </c>
      <c r="M98" t="str">
        <f t="shared" si="48"/>
        <v>Efficient</v>
      </c>
      <c r="N98">
        <v>31608.37</v>
      </c>
      <c r="O98">
        <v>19093.150000000001</v>
      </c>
      <c r="P98">
        <v>50701.52</v>
      </c>
      <c r="Q98">
        <v>13900.11</v>
      </c>
      <c r="R98">
        <v>4640.5200000000004</v>
      </c>
    </row>
    <row r="99" spans="1:18" s="3" customFormat="1" x14ac:dyDescent="0.3">
      <c r="A99" s="24" t="str">
        <f t="shared" si="38"/>
        <v>06.06.2026</v>
      </c>
      <c r="B99" s="4">
        <f t="shared" si="38"/>
        <v>0.41666666666666669</v>
      </c>
    </row>
    <row r="100" spans="1:18" s="3" customFormat="1" x14ac:dyDescent="0.3">
      <c r="A100" s="24" t="str">
        <f t="shared" si="38"/>
        <v>07.06.2026</v>
      </c>
      <c r="B100" s="4">
        <f t="shared" si="38"/>
        <v>0.41666666666666669</v>
      </c>
    </row>
    <row r="101" spans="1:18" x14ac:dyDescent="0.3">
      <c r="A101" s="23" t="str">
        <f t="shared" si="38"/>
        <v>08.06.2026</v>
      </c>
      <c r="B101" s="2">
        <f t="shared" si="38"/>
        <v>0.41666666666666669</v>
      </c>
      <c r="C101" t="s">
        <v>21</v>
      </c>
      <c r="D101">
        <f t="shared" si="39"/>
        <v>23.570000000003347</v>
      </c>
      <c r="E101">
        <f t="shared" si="40"/>
        <v>0</v>
      </c>
      <c r="F101">
        <f t="shared" si="41"/>
        <v>23.17000000000553</v>
      </c>
      <c r="G101">
        <f t="shared" si="42"/>
        <v>7.0000000001527951E-2</v>
      </c>
      <c r="H101">
        <f t="shared" si="43"/>
        <v>0</v>
      </c>
      <c r="I101">
        <f t="shared" si="44"/>
        <v>101.72637030642089</v>
      </c>
      <c r="J101">
        <f t="shared" si="45"/>
        <v>0</v>
      </c>
      <c r="K101">
        <f t="shared" si="46"/>
        <v>99.698795180716402</v>
      </c>
      <c r="L101">
        <f t="shared" si="47"/>
        <v>0</v>
      </c>
      <c r="M101" t="str">
        <f t="shared" si="48"/>
        <v>Efficient</v>
      </c>
      <c r="N101">
        <v>31641.51</v>
      </c>
      <c r="O101">
        <v>19094.29</v>
      </c>
      <c r="P101">
        <v>50736.2</v>
      </c>
      <c r="Q101">
        <v>13936.13</v>
      </c>
      <c r="R101">
        <v>4640.5200000000004</v>
      </c>
    </row>
    <row r="102" spans="1:18" x14ac:dyDescent="0.3">
      <c r="A102" s="23" t="str">
        <f t="shared" si="38"/>
        <v>09.06.2026</v>
      </c>
      <c r="B102" s="2">
        <f t="shared" si="38"/>
        <v>0.41666666666666669</v>
      </c>
      <c r="C102" t="s">
        <v>21</v>
      </c>
      <c r="D102">
        <f t="shared" si="39"/>
        <v>9.2199999999975262</v>
      </c>
      <c r="E102">
        <f t="shared" si="40"/>
        <v>9.9999999983992893E-3</v>
      </c>
      <c r="F102">
        <f t="shared" si="41"/>
        <v>9.6299999999973807</v>
      </c>
      <c r="G102">
        <f t="shared" si="42"/>
        <v>14.349999999998545</v>
      </c>
      <c r="H102">
        <f t="shared" si="43"/>
        <v>0</v>
      </c>
      <c r="I102">
        <f t="shared" si="44"/>
        <v>95.742471443406373</v>
      </c>
      <c r="J102">
        <f t="shared" si="45"/>
        <v>0.10384215990033238</v>
      </c>
      <c r="K102">
        <f t="shared" si="46"/>
        <v>40.158465387819085</v>
      </c>
      <c r="L102">
        <f t="shared" si="47"/>
        <v>0</v>
      </c>
      <c r="M102" t="str">
        <f t="shared" si="48"/>
        <v>Efficient</v>
      </c>
      <c r="N102">
        <v>31665.08</v>
      </c>
      <c r="O102">
        <v>19094.29</v>
      </c>
      <c r="P102">
        <v>50759.37</v>
      </c>
      <c r="Q102">
        <v>13936.2</v>
      </c>
      <c r="R102">
        <v>4640.5200000000004</v>
      </c>
    </row>
    <row r="103" spans="1:18" x14ac:dyDescent="0.3">
      <c r="A103" s="23" t="str">
        <f t="shared" si="38"/>
        <v>10.06.2026</v>
      </c>
      <c r="B103" s="2">
        <f t="shared" si="38"/>
        <v>0.41666666666666669</v>
      </c>
      <c r="C103" t="s">
        <v>21</v>
      </c>
      <c r="D103">
        <f t="shared" si="39"/>
        <v>23.959999999999127</v>
      </c>
      <c r="E103">
        <f t="shared" si="40"/>
        <v>0</v>
      </c>
      <c r="F103">
        <f t="shared" si="41"/>
        <v>23.569999999999709</v>
      </c>
      <c r="G103">
        <f t="shared" si="42"/>
        <v>3.0000000000654836E-2</v>
      </c>
      <c r="H103">
        <f t="shared" si="43"/>
        <v>0</v>
      </c>
      <c r="I103">
        <f t="shared" si="44"/>
        <v>101.65464573610276</v>
      </c>
      <c r="J103">
        <f t="shared" si="45"/>
        <v>0</v>
      </c>
      <c r="K103">
        <f t="shared" si="46"/>
        <v>99.872881355929437</v>
      </c>
      <c r="L103">
        <f t="shared" si="47"/>
        <v>0</v>
      </c>
      <c r="M103" t="str">
        <f t="shared" si="48"/>
        <v>Efficient</v>
      </c>
      <c r="N103">
        <v>31674.3</v>
      </c>
      <c r="O103">
        <v>19094.3</v>
      </c>
      <c r="P103">
        <v>50769</v>
      </c>
      <c r="Q103">
        <v>13950.55</v>
      </c>
      <c r="R103">
        <v>4640.5200000000004</v>
      </c>
    </row>
    <row r="104" spans="1:18" x14ac:dyDescent="0.3">
      <c r="A104" s="23" t="str">
        <f t="shared" si="38"/>
        <v>11.06.2026</v>
      </c>
      <c r="B104" s="2">
        <f t="shared" si="38"/>
        <v>0.41666666666666669</v>
      </c>
      <c r="C104" t="s">
        <v>21</v>
      </c>
      <c r="D104">
        <f t="shared" si="39"/>
        <v>21.230000000003201</v>
      </c>
      <c r="E104">
        <f t="shared" si="40"/>
        <v>0</v>
      </c>
      <c r="F104">
        <f t="shared" si="41"/>
        <v>21.620000000002619</v>
      </c>
      <c r="G104">
        <f t="shared" si="42"/>
        <v>0</v>
      </c>
      <c r="H104">
        <f t="shared" si="43"/>
        <v>2.6699999999991633</v>
      </c>
      <c r="I104">
        <f t="shared" si="44"/>
        <v>98.196114708606046</v>
      </c>
      <c r="J104">
        <f t="shared" si="45"/>
        <v>0</v>
      </c>
      <c r="K104">
        <f t="shared" si="46"/>
        <v>89.00782214903677</v>
      </c>
      <c r="L104">
        <f t="shared" si="47"/>
        <v>10.992177850963225</v>
      </c>
      <c r="M104" t="str">
        <f t="shared" si="48"/>
        <v>Efficient</v>
      </c>
      <c r="N104">
        <v>31698.26</v>
      </c>
      <c r="O104">
        <v>19094.3</v>
      </c>
      <c r="P104">
        <v>50792.57</v>
      </c>
      <c r="Q104">
        <v>13950.58</v>
      </c>
      <c r="R104">
        <v>4640.5200000000004</v>
      </c>
    </row>
    <row r="105" spans="1:18" x14ac:dyDescent="0.3">
      <c r="A105" s="23" t="str">
        <f t="shared" si="38"/>
        <v>12.06.2026</v>
      </c>
      <c r="B105" s="2">
        <f t="shared" si="38"/>
        <v>0.41666666666666669</v>
      </c>
      <c r="C105" t="s">
        <v>21</v>
      </c>
      <c r="D105">
        <f t="shared" si="39"/>
        <v>-31719.49</v>
      </c>
      <c r="E105">
        <f t="shared" si="40"/>
        <v>-19094.3</v>
      </c>
      <c r="F105">
        <f t="shared" si="41"/>
        <v>-50814.19</v>
      </c>
      <c r="G105">
        <f t="shared" si="42"/>
        <v>-13950.58</v>
      </c>
      <c r="H105">
        <f t="shared" si="43"/>
        <v>-4643.1899999999996</v>
      </c>
      <c r="I105">
        <f t="shared" si="44"/>
        <v>62.422504422485133</v>
      </c>
      <c r="J105">
        <f t="shared" si="45"/>
        <v>37.576708395824078</v>
      </c>
      <c r="K105">
        <f t="shared" si="46"/>
        <v>73.210896848142482</v>
      </c>
      <c r="L105">
        <f t="shared" si="47"/>
        <v>6.6897082121416611</v>
      </c>
      <c r="M105" t="str">
        <f t="shared" si="48"/>
        <v>Efficient</v>
      </c>
      <c r="N105">
        <v>31719.49</v>
      </c>
      <c r="O105">
        <v>19094.3</v>
      </c>
      <c r="P105">
        <v>50814.19</v>
      </c>
      <c r="Q105">
        <v>13950.58</v>
      </c>
      <c r="R105">
        <v>4643.1899999999996</v>
      </c>
    </row>
    <row r="106" spans="1:18" s="5" customFormat="1" x14ac:dyDescent="0.3">
      <c r="A106" s="25" t="str">
        <f>A14</f>
        <v>13.06.2026</v>
      </c>
      <c r="B106" s="6" t="s">
        <v>49</v>
      </c>
    </row>
    <row r="107" spans="1:18" s="5" customFormat="1" x14ac:dyDescent="0.3">
      <c r="A107" s="25" t="str">
        <f>A15</f>
        <v>14.06.2026</v>
      </c>
      <c r="B107" s="6" t="s">
        <v>49</v>
      </c>
    </row>
    <row r="108" spans="1:18" x14ac:dyDescent="0.3">
      <c r="A108" s="23" t="s">
        <v>50</v>
      </c>
      <c r="B108" s="2" t="str">
        <f>B16</f>
        <v>10.00.00</v>
      </c>
      <c r="C108" t="s">
        <v>21</v>
      </c>
      <c r="D108">
        <f t="shared" si="39"/>
        <v>8.7900000000008731</v>
      </c>
      <c r="E108">
        <f t="shared" si="40"/>
        <v>0</v>
      </c>
      <c r="F108">
        <f t="shared" si="41"/>
        <v>508.77999999999884</v>
      </c>
      <c r="G108">
        <f t="shared" si="42"/>
        <v>15.159999999999854</v>
      </c>
      <c r="H108">
        <f t="shared" si="43"/>
        <v>0</v>
      </c>
      <c r="I108">
        <f t="shared" si="44"/>
        <v>1.7276622508748167</v>
      </c>
      <c r="J108">
        <f t="shared" si="45"/>
        <v>0</v>
      </c>
      <c r="K108">
        <f t="shared" si="46"/>
        <v>97.106538916669876</v>
      </c>
      <c r="L108">
        <f t="shared" si="47"/>
        <v>0</v>
      </c>
      <c r="M108" t="str">
        <f t="shared" si="48"/>
        <v>Efficient</v>
      </c>
      <c r="N108">
        <v>31772.59</v>
      </c>
      <c r="O108">
        <v>19094.32</v>
      </c>
      <c r="P108">
        <v>50367.32</v>
      </c>
      <c r="Q108">
        <v>13966.18</v>
      </c>
      <c r="R108">
        <v>4646.4799999999996</v>
      </c>
    </row>
    <row r="109" spans="1:18" x14ac:dyDescent="0.3">
      <c r="A109" s="23" t="s">
        <v>51</v>
      </c>
      <c r="B109" s="2" t="s">
        <v>49</v>
      </c>
      <c r="C109" t="s">
        <v>21</v>
      </c>
      <c r="D109">
        <f t="shared" si="39"/>
        <v>0</v>
      </c>
      <c r="E109">
        <f t="shared" si="40"/>
        <v>0</v>
      </c>
      <c r="F109">
        <f t="shared" si="41"/>
        <v>0</v>
      </c>
      <c r="G109">
        <f t="shared" si="42"/>
        <v>23.899999999999636</v>
      </c>
      <c r="H109">
        <f t="shared" si="43"/>
        <v>0</v>
      </c>
      <c r="I109" t="e">
        <f t="shared" si="44"/>
        <v>#DIV/0!</v>
      </c>
      <c r="J109" t="e">
        <f t="shared" si="45"/>
        <v>#DIV/0!</v>
      </c>
      <c r="K109">
        <f t="shared" si="46"/>
        <v>0</v>
      </c>
      <c r="L109">
        <f t="shared" si="47"/>
        <v>0</v>
      </c>
      <c r="M109" t="e">
        <f t="shared" si="48"/>
        <v>#DIV/0!</v>
      </c>
      <c r="N109">
        <v>31781.38</v>
      </c>
      <c r="O109">
        <v>19094.32</v>
      </c>
      <c r="P109">
        <v>50876.1</v>
      </c>
      <c r="Q109">
        <v>13981.34</v>
      </c>
      <c r="R109">
        <v>4646.4799999999996</v>
      </c>
    </row>
    <row r="110" spans="1:18" x14ac:dyDescent="0.3">
      <c r="A110" s="23" t="s">
        <v>52</v>
      </c>
      <c r="B110" s="2" t="s">
        <v>49</v>
      </c>
      <c r="C110" t="s">
        <v>21</v>
      </c>
      <c r="D110">
        <f t="shared" si="39"/>
        <v>5.0999999999985448</v>
      </c>
      <c r="E110">
        <f t="shared" si="40"/>
        <v>0</v>
      </c>
      <c r="F110">
        <f t="shared" si="41"/>
        <v>5.0999999999985448</v>
      </c>
      <c r="G110">
        <f t="shared" si="42"/>
        <v>13.829999999999927</v>
      </c>
      <c r="H110">
        <f t="shared" si="43"/>
        <v>5.1000000000003638</v>
      </c>
      <c r="I110">
        <f t="shared" si="44"/>
        <v>100</v>
      </c>
      <c r="J110">
        <f t="shared" si="45"/>
        <v>0</v>
      </c>
      <c r="K110">
        <f t="shared" si="46"/>
        <v>21.223470661667882</v>
      </c>
      <c r="L110">
        <f t="shared" si="47"/>
        <v>21.223470661675449</v>
      </c>
      <c r="M110" t="str">
        <f t="shared" si="48"/>
        <v>Efficient</v>
      </c>
      <c r="N110">
        <v>31781.38</v>
      </c>
      <c r="O110">
        <v>19094.32</v>
      </c>
      <c r="P110">
        <v>50876.1</v>
      </c>
      <c r="Q110">
        <v>14005.24</v>
      </c>
      <c r="R110">
        <v>4646.4799999999996</v>
      </c>
    </row>
    <row r="111" spans="1:18" x14ac:dyDescent="0.3">
      <c r="A111" s="23" t="s">
        <v>53</v>
      </c>
      <c r="B111" s="2" t="s">
        <v>49</v>
      </c>
      <c r="C111" t="s">
        <v>21</v>
      </c>
      <c r="D111">
        <f t="shared" si="39"/>
        <v>0.75</v>
      </c>
      <c r="E111">
        <f t="shared" si="40"/>
        <v>0</v>
      </c>
      <c r="F111">
        <f t="shared" si="41"/>
        <v>0</v>
      </c>
      <c r="G111">
        <f t="shared" si="42"/>
        <v>23.300000000001091</v>
      </c>
      <c r="H111">
        <f t="shared" si="43"/>
        <v>0</v>
      </c>
      <c r="I111" t="e">
        <f t="shared" si="44"/>
        <v>#DIV/0!</v>
      </c>
      <c r="J111" t="e">
        <f t="shared" si="45"/>
        <v>#DIV/0!</v>
      </c>
      <c r="K111">
        <f t="shared" si="46"/>
        <v>0</v>
      </c>
      <c r="L111">
        <f t="shared" si="47"/>
        <v>0</v>
      </c>
      <c r="M111" t="e">
        <f t="shared" si="48"/>
        <v>#DIV/0!</v>
      </c>
      <c r="N111">
        <v>31786.48</v>
      </c>
      <c r="O111">
        <v>19094.32</v>
      </c>
      <c r="P111">
        <v>50881.2</v>
      </c>
      <c r="Q111">
        <v>14019.07</v>
      </c>
      <c r="R111">
        <v>4651.58</v>
      </c>
    </row>
    <row r="112" spans="1:18" x14ac:dyDescent="0.3">
      <c r="A112" s="23" t="s">
        <v>54</v>
      </c>
      <c r="B112" s="2" t="s">
        <v>49</v>
      </c>
      <c r="C112" t="s">
        <v>21</v>
      </c>
      <c r="D112">
        <f t="shared" si="39"/>
        <v>-31787.23</v>
      </c>
      <c r="E112">
        <f t="shared" si="40"/>
        <v>-19094.32</v>
      </c>
      <c r="F112">
        <f t="shared" si="41"/>
        <v>-50881.2</v>
      </c>
      <c r="G112">
        <f t="shared" si="42"/>
        <v>-14042.37</v>
      </c>
      <c r="H112">
        <f t="shared" si="43"/>
        <v>-4651.58</v>
      </c>
      <c r="I112">
        <f t="shared" si="44"/>
        <v>62.473428299647026</v>
      </c>
      <c r="J112">
        <f t="shared" si="45"/>
        <v>37.527259577211233</v>
      </c>
      <c r="K112">
        <f t="shared" si="46"/>
        <v>73.131283223967188</v>
      </c>
      <c r="L112">
        <f t="shared" si="47"/>
        <v>6.6856916585878725</v>
      </c>
      <c r="M112" t="str">
        <f t="shared" si="48"/>
        <v>Efficient</v>
      </c>
      <c r="N112">
        <v>31787.23</v>
      </c>
      <c r="O112">
        <v>19094.32</v>
      </c>
      <c r="P112">
        <v>50881.2</v>
      </c>
      <c r="Q112">
        <v>14042.37</v>
      </c>
      <c r="R112">
        <v>4651.58</v>
      </c>
    </row>
    <row r="113" spans="1:18" s="3" customFormat="1" x14ac:dyDescent="0.3">
      <c r="A113" s="24" t="s">
        <v>56</v>
      </c>
      <c r="B113" s="4"/>
    </row>
    <row r="114" spans="1:18" s="3" customFormat="1" x14ac:dyDescent="0.3">
      <c r="A114" s="24" t="s">
        <v>57</v>
      </c>
      <c r="B114" s="4"/>
    </row>
    <row r="115" spans="1:18" x14ac:dyDescent="0.3">
      <c r="A115" s="23" t="s">
        <v>58</v>
      </c>
      <c r="B115" s="2" t="s">
        <v>49</v>
      </c>
      <c r="C115" t="s">
        <v>21</v>
      </c>
      <c r="D115">
        <f t="shared" si="39"/>
        <v>-31793.279999999999</v>
      </c>
      <c r="E115">
        <f t="shared" si="40"/>
        <v>-19094.330000000002</v>
      </c>
      <c r="F115">
        <f t="shared" si="41"/>
        <v>-50888.01</v>
      </c>
      <c r="G115">
        <f t="shared" si="42"/>
        <v>-14042</v>
      </c>
      <c r="H115">
        <f t="shared" si="43"/>
        <v>-4717</v>
      </c>
      <c r="I115">
        <f t="shared" si="44"/>
        <v>62.476956752681033</v>
      </c>
      <c r="J115">
        <f t="shared" si="45"/>
        <v>37.522257207542602</v>
      </c>
      <c r="K115">
        <f t="shared" si="46"/>
        <v>73.065606118625908</v>
      </c>
      <c r="L115">
        <f t="shared" si="47"/>
        <v>6.7727243423658807</v>
      </c>
      <c r="M115" t="str">
        <f t="shared" si="48"/>
        <v>Efficient</v>
      </c>
      <c r="N115">
        <v>31793.279999999999</v>
      </c>
      <c r="O115">
        <v>19094.330000000002</v>
      </c>
      <c r="P115">
        <v>50888.01</v>
      </c>
      <c r="Q115">
        <v>14042</v>
      </c>
      <c r="R115">
        <v>4717</v>
      </c>
    </row>
    <row r="123" spans="1:18" x14ac:dyDescent="0.3">
      <c r="A123" s="23" t="s">
        <v>0</v>
      </c>
      <c r="B123" s="2" t="s">
        <v>1</v>
      </c>
      <c r="C123" t="s">
        <v>22</v>
      </c>
      <c r="D123" t="s">
        <v>23</v>
      </c>
      <c r="E123" t="s">
        <v>30</v>
      </c>
      <c r="F123" t="s">
        <v>31</v>
      </c>
      <c r="G123" t="s">
        <v>32</v>
      </c>
      <c r="H123" t="s">
        <v>33</v>
      </c>
      <c r="I123" t="s">
        <v>18</v>
      </c>
      <c r="J123" t="s">
        <v>19</v>
      </c>
      <c r="K123" t="s">
        <v>20</v>
      </c>
      <c r="L123" t="s">
        <v>21</v>
      </c>
      <c r="M123" t="s">
        <v>24</v>
      </c>
      <c r="N123" t="s">
        <v>25</v>
      </c>
      <c r="O123" t="s">
        <v>26</v>
      </c>
      <c r="P123" t="s">
        <v>27</v>
      </c>
      <c r="Q123" t="s">
        <v>28</v>
      </c>
      <c r="R123" t="s">
        <v>29</v>
      </c>
    </row>
    <row r="124" spans="1:18" x14ac:dyDescent="0.3">
      <c r="A124" s="23" t="str">
        <f>A94</f>
        <v>01.06.2026</v>
      </c>
      <c r="B124" s="2">
        <f t="shared" ref="B124:B135" si="49">B2</f>
        <v>0.41666666666666669</v>
      </c>
      <c r="C124">
        <v>85243.21</v>
      </c>
      <c r="D124">
        <f>C125-C124</f>
        <v>2606.9199999999983</v>
      </c>
      <c r="E124">
        <v>258928.3</v>
      </c>
      <c r="F124">
        <v>27666.400000000001</v>
      </c>
      <c r="G124">
        <v>295273</v>
      </c>
      <c r="H124">
        <v>44837.3</v>
      </c>
      <c r="I124">
        <f>E125-E124</f>
        <v>1555.4000000000233</v>
      </c>
      <c r="J124">
        <f>F125-F124</f>
        <v>513.59999999999854</v>
      </c>
      <c r="K124">
        <f>G125-G124</f>
        <v>761</v>
      </c>
      <c r="L124">
        <f>H125-H124</f>
        <v>363.19999999999709</v>
      </c>
      <c r="M124">
        <f>I124+J124+K124+L124</f>
        <v>3193.2000000000189</v>
      </c>
      <c r="N124">
        <f>(I124/M124)*100</f>
        <v>48.709758236252476</v>
      </c>
      <c r="O124">
        <f>(J124/M124)*100</f>
        <v>16.084178880120113</v>
      </c>
      <c r="P124">
        <f>(K124/M124)*100</f>
        <v>23.831892772140659</v>
      </c>
      <c r="Q124">
        <f>(L124/M124)*100</f>
        <v>11.37417011148675</v>
      </c>
      <c r="R124" t="str">
        <f t="shared" ref="R124:R145" si="50">IF(O3&gt;95,"Healthy System",IF(O3&gt;85,"Minor Losses",IF(O3&gt;70,"Moderate Losses",IF(O3&lt;0,"Data Validation Required","High Energy Loss"))))</f>
        <v>Healthy System</v>
      </c>
    </row>
    <row r="125" spans="1:18" x14ac:dyDescent="0.3">
      <c r="A125" s="23" t="str">
        <f t="shared" ref="A125:A136" si="51">A3</f>
        <v>02.06.2026</v>
      </c>
      <c r="B125" s="2">
        <f t="shared" si="49"/>
        <v>0.41666666666666669</v>
      </c>
      <c r="C125">
        <v>87850.13</v>
      </c>
      <c r="D125">
        <f t="shared" ref="D125:D131" si="52">C126-C125</f>
        <v>2692.6199999999953</v>
      </c>
      <c r="E125">
        <v>260483.7</v>
      </c>
      <c r="F125">
        <v>28180</v>
      </c>
      <c r="G125">
        <v>296034</v>
      </c>
      <c r="H125">
        <v>45200.5</v>
      </c>
      <c r="I125">
        <f>E126-E125</f>
        <v>1528</v>
      </c>
      <c r="J125">
        <f t="shared" ref="J125:J141" si="53">F126-F125</f>
        <v>751.5</v>
      </c>
      <c r="K125">
        <f t="shared" ref="K125:K145" si="54">G126-G125</f>
        <v>796</v>
      </c>
      <c r="L125">
        <f t="shared" ref="L125:L145" si="55">H126-H125</f>
        <v>246.5</v>
      </c>
      <c r="M125">
        <f t="shared" ref="M125:M145" si="56">I125+J125+K125+L125</f>
        <v>3322</v>
      </c>
      <c r="N125">
        <f t="shared" ref="N125:N145" si="57">(I125/M125)*100</f>
        <v>45.996387718242019</v>
      </c>
      <c r="O125">
        <f t="shared" ref="O125:O145" si="58">(J125/M125)*100</f>
        <v>22.621914509331727</v>
      </c>
      <c r="P125">
        <f t="shared" ref="P125:P145" si="59">(K125/M125)*100</f>
        <v>23.961468994581576</v>
      </c>
      <c r="Q125">
        <f t="shared" ref="Q125:Q145" si="60">(L125/M125)*100</f>
        <v>7.4202287778446712</v>
      </c>
      <c r="R125" t="str">
        <f t="shared" si="50"/>
        <v>Healthy System</v>
      </c>
    </row>
    <row r="126" spans="1:18" x14ac:dyDescent="0.3">
      <c r="A126" s="23" t="str">
        <f t="shared" si="51"/>
        <v>03.06.2026</v>
      </c>
      <c r="B126" s="2">
        <f t="shared" si="49"/>
        <v>0.41666666666666669</v>
      </c>
      <c r="C126">
        <v>90542.75</v>
      </c>
      <c r="D126">
        <f t="shared" si="52"/>
        <v>2871.2400000000052</v>
      </c>
      <c r="E126">
        <v>262011.7</v>
      </c>
      <c r="F126">
        <v>28931.5</v>
      </c>
      <c r="G126">
        <v>296830</v>
      </c>
      <c r="H126">
        <v>45447</v>
      </c>
      <c r="I126">
        <f>E127-E126</f>
        <v>1524.7000000000116</v>
      </c>
      <c r="J126">
        <f t="shared" si="53"/>
        <v>669.59999999999854</v>
      </c>
      <c r="K126">
        <f t="shared" si="54"/>
        <v>838</v>
      </c>
      <c r="L126">
        <f t="shared" si="55"/>
        <v>512</v>
      </c>
      <c r="M126">
        <f t="shared" si="56"/>
        <v>3544.3000000000102</v>
      </c>
      <c r="N126">
        <f t="shared" si="57"/>
        <v>43.018367519679693</v>
      </c>
      <c r="O126">
        <f t="shared" si="58"/>
        <v>18.892305956041998</v>
      </c>
      <c r="P126">
        <f t="shared" si="59"/>
        <v>23.643596760996459</v>
      </c>
      <c r="Q126">
        <f t="shared" si="60"/>
        <v>14.445729763281848</v>
      </c>
      <c r="R126" t="str">
        <f t="shared" si="50"/>
        <v>Healthy System</v>
      </c>
    </row>
    <row r="127" spans="1:18" x14ac:dyDescent="0.3">
      <c r="A127" s="23" t="str">
        <f t="shared" si="51"/>
        <v>04.06.2026</v>
      </c>
      <c r="B127" s="2">
        <f t="shared" si="49"/>
        <v>0.41666666666666669</v>
      </c>
      <c r="C127">
        <v>93413.99</v>
      </c>
      <c r="D127">
        <f t="shared" si="52"/>
        <v>2387.9399999999878</v>
      </c>
      <c r="E127">
        <v>263536.40000000002</v>
      </c>
      <c r="F127">
        <v>29601.1</v>
      </c>
      <c r="G127">
        <v>297668</v>
      </c>
      <c r="H127">
        <v>45959</v>
      </c>
      <c r="I127">
        <f t="shared" ref="I127:I145" si="61">E128-E127</f>
        <v>1277.7999999999884</v>
      </c>
      <c r="J127">
        <f t="shared" si="53"/>
        <v>562.80000000000291</v>
      </c>
      <c r="K127">
        <f t="shared" si="54"/>
        <v>806</v>
      </c>
      <c r="L127">
        <f t="shared" si="55"/>
        <v>390.80000000000291</v>
      </c>
      <c r="M127">
        <f t="shared" si="56"/>
        <v>3037.3999999999942</v>
      </c>
      <c r="N127">
        <f t="shared" si="57"/>
        <v>42.068874695462924</v>
      </c>
      <c r="O127">
        <f t="shared" si="58"/>
        <v>18.529005070125898</v>
      </c>
      <c r="P127">
        <f t="shared" si="59"/>
        <v>26.535853032198641</v>
      </c>
      <c r="Q127">
        <f t="shared" si="60"/>
        <v>12.866267202212539</v>
      </c>
      <c r="R127" t="str">
        <f t="shared" si="50"/>
        <v>Healthy System</v>
      </c>
    </row>
    <row r="128" spans="1:18" x14ac:dyDescent="0.3">
      <c r="A128" s="23" t="str">
        <f t="shared" si="51"/>
        <v>05.06.2026</v>
      </c>
      <c r="B128" s="2">
        <f t="shared" si="49"/>
        <v>0.41666666666666669</v>
      </c>
      <c r="C128">
        <v>95801.93</v>
      </c>
      <c r="D128">
        <f t="shared" si="52"/>
        <v>-95801.93</v>
      </c>
      <c r="E128">
        <v>264814.2</v>
      </c>
      <c r="F128">
        <v>30163.9</v>
      </c>
      <c r="G128">
        <v>298474</v>
      </c>
      <c r="H128">
        <v>46349.8</v>
      </c>
      <c r="I128">
        <f t="shared" si="61"/>
        <v>-264814.2</v>
      </c>
      <c r="J128">
        <f t="shared" si="53"/>
        <v>-30163.9</v>
      </c>
      <c r="K128">
        <f t="shared" si="54"/>
        <v>-298474</v>
      </c>
      <c r="L128">
        <f t="shared" si="55"/>
        <v>-46349.8</v>
      </c>
      <c r="M128">
        <f t="shared" si="56"/>
        <v>-639801.90000000014</v>
      </c>
      <c r="N128">
        <f t="shared" si="57"/>
        <v>41.390030257803225</v>
      </c>
      <c r="O128">
        <f t="shared" si="58"/>
        <v>4.7145686813371448</v>
      </c>
      <c r="P128">
        <f t="shared" si="59"/>
        <v>46.651002443099955</v>
      </c>
      <c r="Q128">
        <f t="shared" si="60"/>
        <v>7.2443986177596527</v>
      </c>
      <c r="R128" t="str">
        <f t="shared" si="50"/>
        <v>High Energy Loss</v>
      </c>
    </row>
    <row r="129" spans="1:18" s="3" customFormat="1" x14ac:dyDescent="0.3">
      <c r="A129" s="24" t="str">
        <f t="shared" si="51"/>
        <v>06.06.2026</v>
      </c>
      <c r="B129" s="4">
        <f t="shared" si="49"/>
        <v>0.41666666666666669</v>
      </c>
    </row>
    <row r="130" spans="1:18" s="3" customFormat="1" x14ac:dyDescent="0.3">
      <c r="A130" s="24" t="str">
        <f t="shared" si="51"/>
        <v>07.06.2026</v>
      </c>
      <c r="B130" s="4">
        <f t="shared" si="49"/>
        <v>0.41666666666666669</v>
      </c>
    </row>
    <row r="131" spans="1:18" x14ac:dyDescent="0.3">
      <c r="A131" s="23" t="str">
        <f t="shared" si="51"/>
        <v>08.06.2026</v>
      </c>
      <c r="B131" s="2">
        <f t="shared" si="49"/>
        <v>0.41666666666666669</v>
      </c>
      <c r="C131">
        <v>102955.61</v>
      </c>
      <c r="D131">
        <f t="shared" si="52"/>
        <v>1877.9499999999971</v>
      </c>
      <c r="E131">
        <v>267749.3</v>
      </c>
      <c r="F131">
        <v>31787.200000000001</v>
      </c>
      <c r="G131">
        <v>300167</v>
      </c>
      <c r="H131">
        <v>47465.4</v>
      </c>
      <c r="I131">
        <f t="shared" si="61"/>
        <v>1359.4000000000233</v>
      </c>
      <c r="J131">
        <f t="shared" si="53"/>
        <v>612.29999999999927</v>
      </c>
      <c r="K131">
        <f t="shared" si="54"/>
        <v>712</v>
      </c>
      <c r="L131">
        <f t="shared" si="55"/>
        <v>741.19999999999709</v>
      </c>
      <c r="M131">
        <f t="shared" si="56"/>
        <v>3424.9000000000196</v>
      </c>
      <c r="N131">
        <f t="shared" si="57"/>
        <v>39.691669829776508</v>
      </c>
      <c r="O131">
        <f t="shared" si="58"/>
        <v>17.877894245087326</v>
      </c>
      <c r="P131">
        <f t="shared" si="59"/>
        <v>20.788928143887293</v>
      </c>
      <c r="Q131">
        <f t="shared" si="60"/>
        <v>21.64150778124888</v>
      </c>
      <c r="R131" t="str">
        <f t="shared" si="50"/>
        <v>Healthy System</v>
      </c>
    </row>
    <row r="132" spans="1:18" x14ac:dyDescent="0.3">
      <c r="A132" s="23" t="str">
        <f t="shared" si="51"/>
        <v>09.06.2026</v>
      </c>
      <c r="B132" s="2">
        <f t="shared" si="49"/>
        <v>0.41666666666666669</v>
      </c>
      <c r="C132">
        <v>104833.56</v>
      </c>
      <c r="D132">
        <f>C134-C132</f>
        <v>5363.9400000000023</v>
      </c>
      <c r="E132">
        <v>269108.7</v>
      </c>
      <c r="F132">
        <v>32399.5</v>
      </c>
      <c r="G132">
        <v>300879</v>
      </c>
      <c r="H132">
        <v>48206.6</v>
      </c>
      <c r="I132">
        <f t="shared" si="61"/>
        <v>1349.7000000000116</v>
      </c>
      <c r="J132">
        <f t="shared" si="53"/>
        <v>633.40000000000146</v>
      </c>
      <c r="K132">
        <f t="shared" si="54"/>
        <v>855</v>
      </c>
      <c r="L132">
        <f t="shared" si="55"/>
        <v>298.70000000000437</v>
      </c>
      <c r="M132">
        <f t="shared" si="56"/>
        <v>3136.8000000000175</v>
      </c>
      <c r="N132">
        <f t="shared" si="57"/>
        <v>43.027926549349786</v>
      </c>
      <c r="O132">
        <f t="shared" si="58"/>
        <v>20.192552920173359</v>
      </c>
      <c r="P132">
        <f t="shared" si="59"/>
        <v>27.2570772762049</v>
      </c>
      <c r="Q132">
        <f t="shared" si="60"/>
        <v>9.5224432542719555</v>
      </c>
      <c r="R132" t="str">
        <f t="shared" si="50"/>
        <v>Healthy System</v>
      </c>
    </row>
    <row r="133" spans="1:18" x14ac:dyDescent="0.3">
      <c r="A133" s="23" t="str">
        <f t="shared" si="51"/>
        <v>10.06.2026</v>
      </c>
      <c r="B133" s="2">
        <f t="shared" si="49"/>
        <v>0.41666666666666669</v>
      </c>
      <c r="C133">
        <v>107300.68</v>
      </c>
      <c r="D133">
        <f t="shared" ref="D133:D134" si="62">C135-C133</f>
        <v>5710.5</v>
      </c>
      <c r="E133">
        <v>270458.40000000002</v>
      </c>
      <c r="F133">
        <v>33032.9</v>
      </c>
      <c r="G133">
        <v>301734</v>
      </c>
      <c r="H133">
        <v>48505.3</v>
      </c>
      <c r="I133">
        <f t="shared" si="61"/>
        <v>1407.7999999999884</v>
      </c>
      <c r="J133">
        <f t="shared" si="53"/>
        <v>562.69999999999709</v>
      </c>
      <c r="K133">
        <f t="shared" si="54"/>
        <v>770</v>
      </c>
      <c r="L133">
        <f t="shared" si="55"/>
        <v>761.69999999999709</v>
      </c>
      <c r="M133">
        <f t="shared" si="56"/>
        <v>3502.1999999999825</v>
      </c>
      <c r="N133">
        <f t="shared" si="57"/>
        <v>40.197590086231379</v>
      </c>
      <c r="O133">
        <f t="shared" si="58"/>
        <v>16.067043572611496</v>
      </c>
      <c r="P133">
        <f t="shared" si="59"/>
        <v>21.98618011535617</v>
      </c>
      <c r="Q133">
        <f t="shared" si="60"/>
        <v>21.749186225800951</v>
      </c>
      <c r="R133" t="str">
        <f t="shared" si="50"/>
        <v>Healthy System</v>
      </c>
    </row>
    <row r="134" spans="1:18" x14ac:dyDescent="0.3">
      <c r="A134" s="23" t="str">
        <f t="shared" si="51"/>
        <v>11.06.2026</v>
      </c>
      <c r="B134" s="2">
        <f t="shared" si="49"/>
        <v>0.41666666666666669</v>
      </c>
      <c r="C134">
        <v>110197.5</v>
      </c>
      <c r="D134">
        <f t="shared" si="62"/>
        <v>-110197.5</v>
      </c>
      <c r="E134">
        <v>271866.2</v>
      </c>
      <c r="F134">
        <v>33595.599999999999</v>
      </c>
      <c r="G134">
        <v>302504</v>
      </c>
      <c r="H134">
        <v>49267</v>
      </c>
      <c r="I134">
        <f t="shared" si="61"/>
        <v>1381.0999999999767</v>
      </c>
      <c r="J134">
        <f t="shared" si="53"/>
        <v>578.80000000000291</v>
      </c>
      <c r="K134">
        <f t="shared" si="54"/>
        <v>755</v>
      </c>
      <c r="L134">
        <f t="shared" si="55"/>
        <v>677.59999999999854</v>
      </c>
      <c r="M134">
        <f t="shared" si="56"/>
        <v>3392.4999999999782</v>
      </c>
      <c r="N134">
        <f t="shared" si="57"/>
        <v>40.710390567427723</v>
      </c>
      <c r="O134">
        <f t="shared" si="58"/>
        <v>17.061164333087888</v>
      </c>
      <c r="P134">
        <f t="shared" si="59"/>
        <v>22.254974207811493</v>
      </c>
      <c r="Q134">
        <f t="shared" si="60"/>
        <v>19.973470891672893</v>
      </c>
      <c r="R134" t="str">
        <f t="shared" si="50"/>
        <v>Healthy System</v>
      </c>
    </row>
    <row r="135" spans="1:18" x14ac:dyDescent="0.3">
      <c r="A135" s="23" t="str">
        <f t="shared" si="51"/>
        <v>12.06.2026</v>
      </c>
      <c r="B135" s="2">
        <f t="shared" si="49"/>
        <v>0.41666666666666669</v>
      </c>
      <c r="C135">
        <v>113011.18</v>
      </c>
      <c r="D135">
        <f>C137-C135</f>
        <v>-113011.18</v>
      </c>
      <c r="E135">
        <v>273247.3</v>
      </c>
      <c r="F135">
        <v>34174.400000000001</v>
      </c>
      <c r="G135">
        <v>303259</v>
      </c>
      <c r="H135">
        <v>49944.6</v>
      </c>
      <c r="I135">
        <f t="shared" si="61"/>
        <v>-273247.3</v>
      </c>
      <c r="J135">
        <f t="shared" si="53"/>
        <v>-34174.400000000001</v>
      </c>
      <c r="K135">
        <f t="shared" si="54"/>
        <v>-303259</v>
      </c>
      <c r="L135">
        <f t="shared" si="55"/>
        <v>-49944.6</v>
      </c>
      <c r="M135">
        <f t="shared" si="56"/>
        <v>-660625.29999999993</v>
      </c>
      <c r="N135">
        <f t="shared" si="57"/>
        <v>41.361918776044455</v>
      </c>
      <c r="O135">
        <f t="shared" si="58"/>
        <v>5.1730383320166524</v>
      </c>
      <c r="P135">
        <f t="shared" si="59"/>
        <v>45.904841973203268</v>
      </c>
      <c r="Q135">
        <f t="shared" si="60"/>
        <v>7.5602009187356281</v>
      </c>
      <c r="R135" t="str">
        <f t="shared" si="50"/>
        <v>High Energy Loss</v>
      </c>
    </row>
    <row r="136" spans="1:18" s="5" customFormat="1" ht="17.399999999999999" customHeight="1" x14ac:dyDescent="0.3">
      <c r="A136" s="25" t="str">
        <f t="shared" si="51"/>
        <v>13.06.2026</v>
      </c>
      <c r="B136" s="6" t="s">
        <v>49</v>
      </c>
    </row>
    <row r="137" spans="1:18" s="5" customFormat="1" x14ac:dyDescent="0.3">
      <c r="A137" s="25" t="str">
        <f t="shared" ref="A137" si="63">A15</f>
        <v>14.06.2026</v>
      </c>
      <c r="B137" s="6" t="s">
        <v>49</v>
      </c>
    </row>
    <row r="138" spans="1:18" x14ac:dyDescent="0.3">
      <c r="A138" s="23" t="str">
        <f t="shared" ref="A138:B138" si="64">A16</f>
        <v>15.06.2026</v>
      </c>
      <c r="B138" s="2" t="str">
        <f t="shared" si="64"/>
        <v>10.00.00</v>
      </c>
      <c r="C138">
        <v>119277.81</v>
      </c>
      <c r="D138">
        <f t="shared" ref="D138:D145" si="65">C140-C138</f>
        <v>4231.6000000000058</v>
      </c>
      <c r="E138">
        <v>276010.7</v>
      </c>
      <c r="F138">
        <v>35630.199999999997</v>
      </c>
      <c r="G138">
        <v>304740</v>
      </c>
      <c r="H138">
        <v>51509.1</v>
      </c>
      <c r="I138">
        <f>E139-E138</f>
        <v>1296.5</v>
      </c>
      <c r="J138">
        <f t="shared" si="53"/>
        <v>610.80000000000291</v>
      </c>
      <c r="K138">
        <f t="shared" si="54"/>
        <v>924</v>
      </c>
      <c r="L138">
        <f t="shared" si="55"/>
        <v>0.5</v>
      </c>
      <c r="M138">
        <f t="shared" si="56"/>
        <v>2831.8000000000029</v>
      </c>
      <c r="N138">
        <f>(I138/M138)*100</f>
        <v>45.783600536761021</v>
      </c>
      <c r="O138">
        <f>(J138/M138)*100</f>
        <v>21.56931986722234</v>
      </c>
      <c r="P138">
        <f t="shared" si="59"/>
        <v>32.629422981848968</v>
      </c>
      <c r="Q138">
        <f t="shared" si="60"/>
        <v>1.765661416766719E-2</v>
      </c>
      <c r="R138" t="str">
        <f t="shared" si="50"/>
        <v>Healthy System</v>
      </c>
    </row>
    <row r="139" spans="1:18" x14ac:dyDescent="0.3">
      <c r="A139" s="23" t="s">
        <v>51</v>
      </c>
      <c r="B139" s="2" t="str">
        <f>B17</f>
        <v>10.00.00</v>
      </c>
      <c r="C139">
        <v>121348.68799999999</v>
      </c>
      <c r="D139">
        <f t="shared" si="65"/>
        <v>4462.7600000000093</v>
      </c>
      <c r="E139">
        <v>277307.2</v>
      </c>
      <c r="F139">
        <v>36241</v>
      </c>
      <c r="G139">
        <v>305664</v>
      </c>
      <c r="H139">
        <v>51509.599999999999</v>
      </c>
      <c r="I139">
        <f>E140-E139</f>
        <v>1344.3999999999651</v>
      </c>
      <c r="J139">
        <f t="shared" si="53"/>
        <v>645.80000000000291</v>
      </c>
      <c r="K139">
        <f t="shared" si="54"/>
        <v>937</v>
      </c>
      <c r="L139">
        <f t="shared" si="55"/>
        <v>0</v>
      </c>
      <c r="M139">
        <f>I139+J139+K139+L139</f>
        <v>2927.199999999968</v>
      </c>
      <c r="N139">
        <f t="shared" si="57"/>
        <v>45.927849139108353</v>
      </c>
      <c r="O139">
        <f>(J139/M139)*100</f>
        <v>22.062038808417942</v>
      </c>
      <c r="P139">
        <f t="shared" si="59"/>
        <v>32.010112052473701</v>
      </c>
      <c r="Q139">
        <f t="shared" si="60"/>
        <v>0</v>
      </c>
      <c r="R139" t="str">
        <f t="shared" si="50"/>
        <v>Healthy System</v>
      </c>
    </row>
    <row r="140" spans="1:18" x14ac:dyDescent="0.3">
      <c r="A140" s="23" t="s">
        <v>52</v>
      </c>
      <c r="B140" s="2" t="str">
        <f t="shared" ref="B140" si="66">B18</f>
        <v>10.00.00</v>
      </c>
      <c r="C140">
        <v>123509.41</v>
      </c>
      <c r="D140">
        <f t="shared" si="65"/>
        <v>4507.0500000000029</v>
      </c>
      <c r="E140">
        <v>278651.59999999998</v>
      </c>
      <c r="F140">
        <v>36886.800000000003</v>
      </c>
      <c r="G140">
        <v>306601</v>
      </c>
      <c r="H140">
        <v>51509.599999999999</v>
      </c>
      <c r="I140">
        <f t="shared" si="61"/>
        <v>1319.6000000000349</v>
      </c>
      <c r="J140">
        <f t="shared" si="53"/>
        <v>656.09999999999854</v>
      </c>
      <c r="K140">
        <f t="shared" si="54"/>
        <v>899</v>
      </c>
      <c r="L140">
        <f t="shared" si="55"/>
        <v>162.40000000000146</v>
      </c>
      <c r="M140">
        <f t="shared" si="56"/>
        <v>3037.1000000000349</v>
      </c>
      <c r="N140">
        <f t="shared" si="57"/>
        <v>43.449343123374923</v>
      </c>
      <c r="O140">
        <f t="shared" si="58"/>
        <v>21.602844819070526</v>
      </c>
      <c r="P140">
        <f t="shared" si="59"/>
        <v>29.600605841098076</v>
      </c>
      <c r="Q140">
        <f t="shared" si="60"/>
        <v>5.3472062164564749</v>
      </c>
      <c r="R140" t="str">
        <f t="shared" si="50"/>
        <v>Healthy System</v>
      </c>
    </row>
    <row r="141" spans="1:18" x14ac:dyDescent="0.3">
      <c r="A141" s="23" t="s">
        <v>53</v>
      </c>
      <c r="B141" s="2" t="str">
        <f t="shared" ref="B141" si="67">B19</f>
        <v>10.00.00</v>
      </c>
      <c r="C141">
        <v>125811.448</v>
      </c>
      <c r="D141">
        <f t="shared" si="65"/>
        <v>-125811.448</v>
      </c>
      <c r="E141">
        <v>279971.20000000001</v>
      </c>
      <c r="F141">
        <v>37542.9</v>
      </c>
      <c r="G141">
        <v>307500</v>
      </c>
      <c r="H141">
        <v>51672</v>
      </c>
      <c r="I141">
        <f t="shared" si="61"/>
        <v>1366.0999999999767</v>
      </c>
      <c r="J141">
        <f t="shared" si="53"/>
        <v>648.5</v>
      </c>
      <c r="K141">
        <f t="shared" si="54"/>
        <v>931</v>
      </c>
      <c r="L141">
        <f t="shared" si="55"/>
        <v>20.5</v>
      </c>
      <c r="M141">
        <f t="shared" si="56"/>
        <v>2966.0999999999767</v>
      </c>
      <c r="N141">
        <f t="shared" si="57"/>
        <v>46.057112032635025</v>
      </c>
      <c r="O141">
        <f t="shared" si="58"/>
        <v>21.863726779272614</v>
      </c>
      <c r="P141">
        <f t="shared" si="59"/>
        <v>31.388017936010499</v>
      </c>
      <c r="Q141">
        <f t="shared" si="60"/>
        <v>0.69114325208186378</v>
      </c>
      <c r="R141" t="str">
        <f t="shared" si="50"/>
        <v>Healthy System</v>
      </c>
    </row>
    <row r="142" spans="1:18" x14ac:dyDescent="0.3">
      <c r="A142" s="23" t="s">
        <v>54</v>
      </c>
      <c r="B142" s="2" t="str">
        <f t="shared" ref="B142" si="68">B20</f>
        <v>10.00.00</v>
      </c>
      <c r="C142">
        <v>128016.46</v>
      </c>
      <c r="D142">
        <f t="shared" si="65"/>
        <v>-128016.46</v>
      </c>
      <c r="E142">
        <v>281337.3</v>
      </c>
      <c r="F142">
        <v>38191.4</v>
      </c>
      <c r="G142">
        <v>308431</v>
      </c>
      <c r="H142">
        <v>51692.5</v>
      </c>
      <c r="I142">
        <f t="shared" si="61"/>
        <v>-281337.3</v>
      </c>
      <c r="J142">
        <f>F143-F142</f>
        <v>-38191.4</v>
      </c>
      <c r="K142">
        <f t="shared" si="54"/>
        <v>-308431</v>
      </c>
      <c r="L142">
        <f t="shared" si="55"/>
        <v>-51692.5</v>
      </c>
      <c r="M142">
        <f t="shared" si="56"/>
        <v>-679652.2</v>
      </c>
      <c r="N142">
        <f t="shared" si="57"/>
        <v>41.394304322122402</v>
      </c>
      <c r="O142">
        <f t="shared" si="58"/>
        <v>5.6192564373366265</v>
      </c>
      <c r="P142">
        <f t="shared" si="59"/>
        <v>45.380710898897995</v>
      </c>
      <c r="Q142">
        <f t="shared" si="60"/>
        <v>7.6057283416429753</v>
      </c>
      <c r="R142" t="str">
        <f t="shared" si="50"/>
        <v>High Energy Loss</v>
      </c>
    </row>
    <row r="143" spans="1:18" s="3" customFormat="1" x14ac:dyDescent="0.3">
      <c r="A143" s="24" t="s">
        <v>56</v>
      </c>
      <c r="B143" s="4"/>
    </row>
    <row r="144" spans="1:18" s="3" customFormat="1" x14ac:dyDescent="0.3">
      <c r="A144" s="24" t="s">
        <v>57</v>
      </c>
      <c r="B144" s="4"/>
    </row>
    <row r="145" spans="1:18" x14ac:dyDescent="0.3">
      <c r="A145" s="23" t="s">
        <v>60</v>
      </c>
      <c r="B145" s="2" t="s">
        <v>49</v>
      </c>
      <c r="C145">
        <v>133019.88</v>
      </c>
      <c r="D145">
        <f t="shared" si="65"/>
        <v>-133019.88</v>
      </c>
      <c r="E145">
        <v>284398.8</v>
      </c>
      <c r="F145">
        <v>39474.300000000003</v>
      </c>
      <c r="G145">
        <v>310884</v>
      </c>
      <c r="H145">
        <v>51886.1</v>
      </c>
      <c r="I145">
        <f t="shared" si="61"/>
        <v>-284398.8</v>
      </c>
      <c r="J145">
        <f t="shared" ref="J145" si="69">F146-F145</f>
        <v>-39474.300000000003</v>
      </c>
      <c r="K145">
        <f t="shared" si="54"/>
        <v>-310884</v>
      </c>
      <c r="L145">
        <f t="shared" si="55"/>
        <v>-51886.1</v>
      </c>
      <c r="M145">
        <f t="shared" si="56"/>
        <v>-686643.19999999995</v>
      </c>
      <c r="N145">
        <f t="shared" si="57"/>
        <v>41.418716445455225</v>
      </c>
      <c r="O145">
        <f t="shared" si="58"/>
        <v>5.7488809326299313</v>
      </c>
      <c r="P145">
        <f t="shared" si="59"/>
        <v>45.275916225486547</v>
      </c>
      <c r="Q145">
        <f t="shared" si="60"/>
        <v>7.5564863964283049</v>
      </c>
      <c r="R145" t="str">
        <f t="shared" si="50"/>
        <v>High Energy Loss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9E0EA-D22B-4042-8BF9-A59AD1000366}">
  <dimension ref="A1:S145"/>
  <sheetViews>
    <sheetView tabSelected="1" topLeftCell="F1" zoomScale="87" workbookViewId="0">
      <selection activeCell="B16" sqref="B16"/>
    </sheetView>
  </sheetViews>
  <sheetFormatPr defaultRowHeight="14.4" x14ac:dyDescent="0.3"/>
  <cols>
    <col min="1" max="1" width="12" style="23" customWidth="1"/>
    <col min="2" max="2" width="12" style="26" customWidth="1"/>
    <col min="3" max="3" width="14" customWidth="1"/>
    <col min="4" max="4" width="14.77734375" style="3" customWidth="1"/>
    <col min="5" max="5" width="14.77734375" style="7" customWidth="1"/>
    <col min="6" max="6" width="16.44140625" style="8" customWidth="1"/>
    <col min="8" max="8" width="24.21875" customWidth="1"/>
    <col min="9" max="9" width="16.6640625" style="3" customWidth="1"/>
    <col min="10" max="10" width="15.77734375" style="7" customWidth="1"/>
    <col min="11" max="11" width="12.6640625" style="9" customWidth="1"/>
    <col min="12" max="12" width="23.5546875" customWidth="1"/>
    <col min="13" max="13" width="14.21875" style="3" customWidth="1"/>
    <col min="14" max="14" width="15.109375" style="7" customWidth="1"/>
    <col min="15" max="15" width="14.21875" style="9" customWidth="1"/>
    <col min="16" max="16" width="15.88671875" customWidth="1"/>
    <col min="17" max="17" width="17.44140625" style="3" customWidth="1"/>
    <col min="18" max="18" width="14.109375" style="7" customWidth="1"/>
    <col min="19" max="19" width="8.88671875" style="9"/>
  </cols>
  <sheetData>
    <row r="1" spans="1:19" x14ac:dyDescent="0.3">
      <c r="A1" s="23" t="s">
        <v>0</v>
      </c>
      <c r="B1" s="26" t="s">
        <v>1</v>
      </c>
      <c r="C1" t="s">
        <v>61</v>
      </c>
      <c r="D1" s="3" t="s">
        <v>62</v>
      </c>
      <c r="E1" s="7" t="s">
        <v>63</v>
      </c>
      <c r="F1" s="8" t="s">
        <v>64</v>
      </c>
      <c r="H1" t="s">
        <v>61</v>
      </c>
      <c r="I1" s="3" t="s">
        <v>65</v>
      </c>
      <c r="J1" s="7" t="s">
        <v>63</v>
      </c>
      <c r="K1" s="9" t="s">
        <v>66</v>
      </c>
      <c r="L1" t="s">
        <v>67</v>
      </c>
      <c r="M1" s="3" t="s">
        <v>65</v>
      </c>
      <c r="N1" s="7" t="s">
        <v>63</v>
      </c>
      <c r="O1" s="9" t="s">
        <v>66</v>
      </c>
      <c r="P1" t="s">
        <v>61</v>
      </c>
      <c r="Q1" s="3" t="s">
        <v>65</v>
      </c>
      <c r="R1" s="7" t="s">
        <v>63</v>
      </c>
      <c r="S1" s="9" t="s">
        <v>66</v>
      </c>
    </row>
    <row r="2" spans="1:19" x14ac:dyDescent="0.3">
      <c r="A2" s="23" t="s">
        <v>134</v>
      </c>
      <c r="B2" s="26">
        <v>0.41666666666666669</v>
      </c>
      <c r="C2" t="s">
        <v>18</v>
      </c>
      <c r="D2" s="3">
        <f>'compressor readings'!I2</f>
        <v>99.457881567984145</v>
      </c>
      <c r="E2" s="7">
        <f>'compressor readings'!J2</f>
        <v>0.54211843201585797</v>
      </c>
      <c r="F2" s="8">
        <f>D2+E2</f>
        <v>100</v>
      </c>
      <c r="H2" t="s">
        <v>19</v>
      </c>
      <c r="I2" s="3">
        <f>'compressor readings'!I32</f>
        <v>89.943074003783479</v>
      </c>
      <c r="J2" s="7">
        <f>'compressor readings'!J32</f>
        <v>10.009487666031774</v>
      </c>
      <c r="K2" s="9">
        <f>I2+J2</f>
        <v>99.952561669815253</v>
      </c>
      <c r="L2" t="s">
        <v>20</v>
      </c>
      <c r="M2" s="3">
        <f>'compressor readings'!I63</f>
        <v>80.685203574970217</v>
      </c>
      <c r="N2" s="7">
        <f>'compressor readings'!J63</f>
        <v>19.215491559084676</v>
      </c>
      <c r="O2" s="9">
        <f>M2+N2</f>
        <v>99.900695134054899</v>
      </c>
      <c r="P2" t="s">
        <v>21</v>
      </c>
      <c r="Q2" s="3">
        <v>98.173345600000005</v>
      </c>
      <c r="R2" s="7">
        <f>'compressor readings'!J94</f>
        <v>1.4134275618683443</v>
      </c>
      <c r="S2" s="9">
        <f>Q2+R2</f>
        <v>99.586773161868351</v>
      </c>
    </row>
    <row r="3" spans="1:19" x14ac:dyDescent="0.3">
      <c r="A3" s="23" t="s">
        <v>133</v>
      </c>
      <c r="B3" s="26">
        <v>0.41666666666666669</v>
      </c>
      <c r="C3" t="s">
        <v>18</v>
      </c>
      <c r="D3" s="3">
        <f>'compressor readings'!I3</f>
        <v>99.357876712338125</v>
      </c>
      <c r="E3" s="7">
        <f>'compressor readings'!J3</f>
        <v>0.5565068493194153</v>
      </c>
      <c r="F3" s="8">
        <f t="shared" ref="F3:F23" si="0">D3+E3</f>
        <v>99.914383561657544</v>
      </c>
      <c r="H3" t="s">
        <v>19</v>
      </c>
      <c r="I3" s="3">
        <f>'compressor readings'!I33</f>
        <v>65.960264900670865</v>
      </c>
      <c r="J3" s="7">
        <f>'compressor readings'!J33</f>
        <v>7.549668874173074</v>
      </c>
      <c r="K3" s="9">
        <f t="shared" ref="K3:K22" si="1">I3+J3</f>
        <v>73.509933774843944</v>
      </c>
      <c r="L3" t="s">
        <v>20</v>
      </c>
      <c r="M3" s="3">
        <f>'compressor readings'!I64</f>
        <v>82.727272727273998</v>
      </c>
      <c r="N3" s="7">
        <f>'compressor readings'!J64</f>
        <v>15.35885167464159</v>
      </c>
      <c r="O3" s="9">
        <f t="shared" ref="O3:O23" si="2">M3+N3</f>
        <v>98.086124401915583</v>
      </c>
      <c r="P3" t="s">
        <v>21</v>
      </c>
      <c r="Q3" s="3">
        <f>'compressor readings'!I95</f>
        <v>93.19899244331593</v>
      </c>
      <c r="R3" s="7">
        <f>'compressor readings'!J95</f>
        <v>1.7632241813523537</v>
      </c>
      <c r="S3" s="9">
        <f t="shared" ref="S3:S23" si="3">Q3+R3</f>
        <v>94.962216624668287</v>
      </c>
    </row>
    <row r="4" spans="1:19" x14ac:dyDescent="0.3">
      <c r="A4" s="23" t="s">
        <v>34</v>
      </c>
      <c r="B4" s="26">
        <v>0.41666666666666669</v>
      </c>
      <c r="C4" t="s">
        <v>18</v>
      </c>
      <c r="D4" s="3">
        <f>'compressor readings'!I4</f>
        <v>97.155172413762898</v>
      </c>
      <c r="E4" s="7">
        <f>'compressor readings'!J4</f>
        <v>0.38793103448331284</v>
      </c>
      <c r="F4" s="8">
        <f t="shared" si="0"/>
        <v>97.543103448246214</v>
      </c>
      <c r="H4" t="s">
        <v>19</v>
      </c>
      <c r="I4" s="3">
        <f>'compressor readings'!I34</f>
        <v>120.14324082363461</v>
      </c>
      <c r="J4" s="7">
        <f>'compressor readings'!J34</f>
        <v>6.7144136078782015</v>
      </c>
      <c r="K4" s="9">
        <f t="shared" si="1"/>
        <v>126.85765443151281</v>
      </c>
      <c r="L4" t="s">
        <v>20</v>
      </c>
      <c r="M4" s="3">
        <f>'compressor readings'!I65</f>
        <v>84.193840579706958</v>
      </c>
      <c r="N4" s="7">
        <f>'compressor readings'!J65</f>
        <v>17.617753623187888</v>
      </c>
      <c r="O4" s="9">
        <f t="shared" si="2"/>
        <v>101.81159420289484</v>
      </c>
      <c r="P4" t="s">
        <v>21</v>
      </c>
      <c r="Q4" s="3">
        <f>'compressor readings'!I96</f>
        <v>98.878504672917742</v>
      </c>
      <c r="R4" s="7">
        <f>'compressor readings'!J96</f>
        <v>3.6137071650982304</v>
      </c>
      <c r="S4" s="9">
        <f t="shared" si="3"/>
        <v>102.49221183801598</v>
      </c>
    </row>
    <row r="5" spans="1:19" x14ac:dyDescent="0.3">
      <c r="A5" s="23" t="s">
        <v>37</v>
      </c>
      <c r="B5" s="26">
        <v>0.41666666666666669</v>
      </c>
      <c r="C5" t="s">
        <v>18</v>
      </c>
      <c r="D5" s="3">
        <f>'compressor readings'!I5</f>
        <v>97.579425113466868</v>
      </c>
      <c r="E5" s="7">
        <f>'compressor readings'!J5</f>
        <v>0.40342914776469579</v>
      </c>
      <c r="F5" s="8">
        <f t="shared" si="0"/>
        <v>97.982854261231566</v>
      </c>
      <c r="H5" t="s">
        <v>19</v>
      </c>
      <c r="I5" s="3">
        <f>'compressor readings'!I35</f>
        <v>90.370370370363034</v>
      </c>
      <c r="J5" s="7">
        <f>'compressor readings'!J35</f>
        <v>9.6296296296273489</v>
      </c>
      <c r="K5" s="9">
        <f t="shared" si="1"/>
        <v>99.999999999990379</v>
      </c>
      <c r="L5" t="s">
        <v>20</v>
      </c>
      <c r="M5" s="3">
        <f>'compressor readings'!I66</f>
        <v>83.9796860572513</v>
      </c>
      <c r="N5" s="7">
        <f>'compressor readings'!J66</f>
        <v>14.173591874423749</v>
      </c>
      <c r="O5" s="9">
        <f t="shared" si="2"/>
        <v>98.153277931675049</v>
      </c>
      <c r="P5" t="s">
        <v>21</v>
      </c>
      <c r="Q5" s="3">
        <f>'compressor readings'!I97</f>
        <v>99.178307313076758</v>
      </c>
      <c r="R5" s="7">
        <f>'compressor readings'!J97</f>
        <v>0.82169268695313991</v>
      </c>
      <c r="S5" s="9">
        <f t="shared" si="3"/>
        <v>100.0000000000299</v>
      </c>
    </row>
    <row r="6" spans="1:19" x14ac:dyDescent="0.3">
      <c r="A6" s="23" t="s">
        <v>38</v>
      </c>
      <c r="B6" s="26">
        <v>0.41666666666666669</v>
      </c>
      <c r="C6" t="s">
        <v>18</v>
      </c>
      <c r="D6" s="3">
        <f>'compressor readings'!I6</f>
        <v>53.064410577078021</v>
      </c>
      <c r="E6" s="7">
        <f>'compressor readings'!J6</f>
        <v>46.933171394516705</v>
      </c>
      <c r="F6" s="8">
        <f t="shared" si="0"/>
        <v>99.997581971594727</v>
      </c>
      <c r="H6" t="s">
        <v>19</v>
      </c>
      <c r="I6" s="3">
        <f>'compressor readings'!I36</f>
        <v>65.670026706430079</v>
      </c>
      <c r="J6" s="7">
        <f>'compressor readings'!J36</f>
        <v>34.329927128608659</v>
      </c>
      <c r="K6" s="9">
        <f t="shared" si="1"/>
        <v>99.999953835038738</v>
      </c>
      <c r="L6" t="s">
        <v>20</v>
      </c>
      <c r="M6" s="3">
        <f>'compressor readings'!I67</f>
        <v>66.205766803801751</v>
      </c>
      <c r="N6" s="7">
        <f>'compressor readings'!J67</f>
        <v>33.790668159228815</v>
      </c>
      <c r="O6" s="9">
        <f t="shared" si="2"/>
        <v>99.996434963030566</v>
      </c>
      <c r="P6" t="s">
        <v>21</v>
      </c>
      <c r="Q6" s="3">
        <f>'compressor readings'!I98</f>
        <v>62.342056017255501</v>
      </c>
      <c r="R6" s="7">
        <f>'compressor readings'!J98</f>
        <v>37.657943982744506</v>
      </c>
      <c r="S6" s="9">
        <f t="shared" si="3"/>
        <v>100</v>
      </c>
    </row>
    <row r="7" spans="1:19" x14ac:dyDescent="0.3">
      <c r="A7" s="24" t="s">
        <v>39</v>
      </c>
      <c r="B7" s="27">
        <v>0.41666666666666669</v>
      </c>
      <c r="C7" t="s">
        <v>18</v>
      </c>
      <c r="D7" s="3">
        <f>'compressor readings'!I7</f>
        <v>0</v>
      </c>
      <c r="E7" s="7">
        <f>'compressor readings'!J7</f>
        <v>0</v>
      </c>
      <c r="F7" s="8">
        <f t="shared" si="0"/>
        <v>0</v>
      </c>
      <c r="H7" t="s">
        <v>19</v>
      </c>
      <c r="I7" s="3">
        <f>'compressor readings'!I37</f>
        <v>0</v>
      </c>
      <c r="J7" s="7">
        <f>'compressor readings'!J37</f>
        <v>0</v>
      </c>
      <c r="K7" s="9">
        <f t="shared" si="1"/>
        <v>0</v>
      </c>
      <c r="L7" t="s">
        <v>20</v>
      </c>
      <c r="M7" s="3">
        <f>'compressor readings'!I68</f>
        <v>0</v>
      </c>
      <c r="N7" s="7">
        <f>'compressor readings'!J68</f>
        <v>0</v>
      </c>
      <c r="O7" s="9">
        <f t="shared" si="2"/>
        <v>0</v>
      </c>
      <c r="P7" t="s">
        <v>21</v>
      </c>
      <c r="Q7" s="3">
        <f>'compressor readings'!I99</f>
        <v>0</v>
      </c>
      <c r="R7" s="7">
        <f>'compressor readings'!J99</f>
        <v>0</v>
      </c>
      <c r="S7" s="9">
        <f t="shared" si="3"/>
        <v>0</v>
      </c>
    </row>
    <row r="8" spans="1:19" x14ac:dyDescent="0.3">
      <c r="A8" s="24" t="s">
        <v>40</v>
      </c>
      <c r="B8" s="27">
        <v>0.41666666666666669</v>
      </c>
      <c r="C8" t="s">
        <v>18</v>
      </c>
      <c r="D8" s="3">
        <f>'compressor readings'!I8</f>
        <v>0</v>
      </c>
      <c r="E8" s="7">
        <f>'compressor readings'!J8</f>
        <v>0</v>
      </c>
      <c r="F8" s="8">
        <f t="shared" si="0"/>
        <v>0</v>
      </c>
      <c r="H8" t="s">
        <v>19</v>
      </c>
      <c r="I8" s="3">
        <f>'compressor readings'!I38</f>
        <v>0</v>
      </c>
      <c r="J8" s="7">
        <f>'compressor readings'!J38</f>
        <v>0</v>
      </c>
      <c r="K8" s="9">
        <f t="shared" si="1"/>
        <v>0</v>
      </c>
      <c r="L8" t="s">
        <v>20</v>
      </c>
      <c r="M8" s="3">
        <f>'compressor readings'!I69</f>
        <v>0</v>
      </c>
      <c r="N8" s="7">
        <f>'compressor readings'!J69</f>
        <v>0</v>
      </c>
      <c r="O8" s="9">
        <f t="shared" si="2"/>
        <v>0</v>
      </c>
      <c r="P8" t="s">
        <v>21</v>
      </c>
      <c r="Q8" s="3">
        <f>'compressor readings'!I100</f>
        <v>0</v>
      </c>
      <c r="R8" s="7">
        <f>'compressor readings'!J100</f>
        <v>0</v>
      </c>
      <c r="S8" s="9">
        <f t="shared" si="3"/>
        <v>0</v>
      </c>
    </row>
    <row r="9" spans="1:19" x14ac:dyDescent="0.3">
      <c r="A9" s="23" t="s">
        <v>41</v>
      </c>
      <c r="B9" s="26">
        <v>0.41666666666666669</v>
      </c>
      <c r="C9" t="s">
        <v>18</v>
      </c>
      <c r="D9" s="3">
        <f>'compressor readings'!I9</f>
        <v>93.851886353084254</v>
      </c>
      <c r="E9" s="7">
        <f>'compressor readings'!J9</f>
        <v>4.2850489054425509</v>
      </c>
      <c r="F9" s="8">
        <f t="shared" si="0"/>
        <v>98.136935258526805</v>
      </c>
      <c r="H9" t="s">
        <v>19</v>
      </c>
      <c r="I9" s="3">
        <f>'compressor readings'!I39</f>
        <v>82.685185185193461</v>
      </c>
      <c r="J9" s="7">
        <f>'compressor readings'!J39</f>
        <v>15.324074074076959</v>
      </c>
      <c r="K9" s="9">
        <f t="shared" si="1"/>
        <v>98.009259259270422</v>
      </c>
      <c r="L9" t="s">
        <v>20</v>
      </c>
      <c r="M9" s="3">
        <f>'compressor readings'!I70</f>
        <v>66.3877266387708</v>
      </c>
      <c r="N9" s="7">
        <f>'compressor readings'!J70</f>
        <v>31.752673175268768</v>
      </c>
      <c r="O9" s="9">
        <f t="shared" si="2"/>
        <v>98.140399814039569</v>
      </c>
      <c r="P9" t="s">
        <v>21</v>
      </c>
      <c r="Q9" s="3">
        <f>'compressor readings'!I101</f>
        <v>101.72637030642089</v>
      </c>
      <c r="R9" s="7">
        <f>'compressor readings'!J101</f>
        <v>0</v>
      </c>
      <c r="S9" s="9">
        <f t="shared" si="3"/>
        <v>101.72637030642089</v>
      </c>
    </row>
    <row r="10" spans="1:19" x14ac:dyDescent="0.3">
      <c r="A10" s="23" t="s">
        <v>42</v>
      </c>
      <c r="B10" s="26">
        <v>0.41666666666666669</v>
      </c>
      <c r="C10" t="s">
        <v>18</v>
      </c>
      <c r="D10" s="3">
        <f>'compressor readings'!I10</f>
        <v>94.328922495254403</v>
      </c>
      <c r="E10" s="7">
        <f>'compressor readings'!J10</f>
        <v>5.6710775047283999</v>
      </c>
      <c r="F10" s="8">
        <f t="shared" si="0"/>
        <v>99.999999999982805</v>
      </c>
      <c r="H10" t="s">
        <v>19</v>
      </c>
      <c r="I10" s="3">
        <f>'compressor readings'!I40</f>
        <v>80.280455740578191</v>
      </c>
      <c r="J10" s="7">
        <f>'compressor readings'!J40</f>
        <v>19.807186678354487</v>
      </c>
      <c r="K10" s="9">
        <f t="shared" si="1"/>
        <v>100.08764241893267</v>
      </c>
      <c r="L10" t="s">
        <v>20</v>
      </c>
      <c r="M10" s="3">
        <f>'compressor readings'!I71</f>
        <v>79.382340147891142</v>
      </c>
      <c r="N10" s="7">
        <f>'compressor readings'!J71</f>
        <v>20.617659852108861</v>
      </c>
      <c r="O10" s="9">
        <f t="shared" si="2"/>
        <v>100</v>
      </c>
      <c r="P10" t="s">
        <v>21</v>
      </c>
      <c r="Q10" s="3">
        <f>'compressor readings'!I102</f>
        <v>95.742471443406373</v>
      </c>
      <c r="R10" s="7">
        <f>'compressor readings'!J102</f>
        <v>0.10384215990033238</v>
      </c>
      <c r="S10" s="9">
        <f t="shared" si="3"/>
        <v>95.846313603306712</v>
      </c>
    </row>
    <row r="11" spans="1:19" x14ac:dyDescent="0.3">
      <c r="A11" s="23" t="s">
        <v>43</v>
      </c>
      <c r="B11" s="26">
        <v>0.41666666666666669</v>
      </c>
      <c r="C11" t="s">
        <v>18</v>
      </c>
      <c r="D11" s="3">
        <f>'compressor readings'!I11</f>
        <v>97.901459854018412</v>
      </c>
      <c r="E11" s="7">
        <f>'compressor readings'!J11</f>
        <v>3.5538321167823641</v>
      </c>
      <c r="F11" s="8">
        <f t="shared" si="0"/>
        <v>101.45529197080077</v>
      </c>
      <c r="H11" t="s">
        <v>19</v>
      </c>
      <c r="I11" s="3">
        <f>'compressor readings'!I41</f>
        <v>83.659217877079456</v>
      </c>
      <c r="J11" s="7">
        <f>'compressor readings'!J41</f>
        <v>16.340782122899373</v>
      </c>
      <c r="K11" s="9">
        <f t="shared" si="1"/>
        <v>99.999999999978826</v>
      </c>
      <c r="L11" t="s">
        <v>20</v>
      </c>
      <c r="M11" s="3">
        <f>'compressor readings'!I72</f>
        <v>70.248667850796636</v>
      </c>
      <c r="N11" s="7">
        <f>'compressor readings'!J72</f>
        <v>31.527531083480337</v>
      </c>
      <c r="O11" s="9">
        <f t="shared" si="2"/>
        <v>101.77619893427698</v>
      </c>
      <c r="P11" t="s">
        <v>21</v>
      </c>
      <c r="Q11" s="3">
        <f>'compressor readings'!I103</f>
        <v>101.65464573610276</v>
      </c>
      <c r="R11" s="7">
        <f>'compressor readings'!J103</f>
        <v>0</v>
      </c>
      <c r="S11" s="9">
        <f t="shared" si="3"/>
        <v>101.65464573610276</v>
      </c>
    </row>
    <row r="12" spans="1:19" x14ac:dyDescent="0.3">
      <c r="A12" s="23" t="s">
        <v>44</v>
      </c>
      <c r="B12" s="26">
        <v>0.41666666666666669</v>
      </c>
      <c r="C12" t="s">
        <v>18</v>
      </c>
      <c r="D12" s="3">
        <f>'compressor readings'!I12</f>
        <v>94.638694638688946</v>
      </c>
      <c r="E12" s="7">
        <f>'compressor readings'!J12</f>
        <v>5.7389277389424462</v>
      </c>
      <c r="F12" s="8">
        <f t="shared" si="0"/>
        <v>100.3776223776314</v>
      </c>
      <c r="H12" t="s">
        <v>19</v>
      </c>
      <c r="I12" s="3">
        <f>'compressor readings'!I42</f>
        <v>80.602716468597862</v>
      </c>
      <c r="J12" s="7">
        <f>'compressor readings'!J42</f>
        <v>19.397283531413709</v>
      </c>
      <c r="K12" s="9">
        <f t="shared" si="1"/>
        <v>100.00000000001157</v>
      </c>
      <c r="L12" t="s">
        <v>20</v>
      </c>
      <c r="M12" s="3">
        <f>'compressor readings'!I73</f>
        <v>15.680000000000291</v>
      </c>
      <c r="N12" s="7">
        <f>'compressor readings'!J73</f>
        <v>31.107205623900963</v>
      </c>
      <c r="O12" s="9">
        <f t="shared" si="2"/>
        <v>46.787205623901258</v>
      </c>
      <c r="P12" t="s">
        <v>21</v>
      </c>
      <c r="Q12" s="3">
        <f>'compressor readings'!I104</f>
        <v>98.196114708606046</v>
      </c>
      <c r="R12" s="7">
        <f>'compressor readings'!J104</f>
        <v>0</v>
      </c>
      <c r="S12" s="9">
        <f t="shared" si="3"/>
        <v>98.196114708606046</v>
      </c>
    </row>
    <row r="13" spans="1:19" x14ac:dyDescent="0.3">
      <c r="A13" s="23" t="s">
        <v>45</v>
      </c>
      <c r="B13" s="26">
        <v>0.41666666666666669</v>
      </c>
      <c r="C13" t="s">
        <v>18</v>
      </c>
      <c r="D13" s="3">
        <f>'compressor readings'!I13</f>
        <v>53.164827230264578</v>
      </c>
      <c r="E13" s="7">
        <f>'compressor readings'!J13</f>
        <v>46.835172769735415</v>
      </c>
      <c r="F13" s="8">
        <f t="shared" si="0"/>
        <v>100</v>
      </c>
      <c r="H13" t="s">
        <v>19</v>
      </c>
      <c r="I13" s="3">
        <f>'compressor readings'!I43</f>
        <v>65.795830169678922</v>
      </c>
      <c r="J13" s="7">
        <f>'compressor readings'!J43</f>
        <v>34.202334719606554</v>
      </c>
      <c r="K13" s="9">
        <f t="shared" si="1"/>
        <v>99.998164889285476</v>
      </c>
      <c r="L13" t="s">
        <v>20</v>
      </c>
      <c r="M13" s="3">
        <f>'compressor readings'!I74</f>
        <v>66.324797767693568</v>
      </c>
      <c r="N13" s="7">
        <f>'compressor readings'!J74</f>
        <v>33.675202232306425</v>
      </c>
      <c r="O13" s="9">
        <f t="shared" si="2"/>
        <v>100</v>
      </c>
      <c r="P13" t="s">
        <v>21</v>
      </c>
      <c r="Q13" s="3">
        <f>'compressor readings'!I105</f>
        <v>62.422504422485133</v>
      </c>
      <c r="R13" s="7">
        <f>'compressor readings'!J105</f>
        <v>37.576708395824078</v>
      </c>
      <c r="S13" s="9">
        <f t="shared" si="3"/>
        <v>99.999212818309218</v>
      </c>
    </row>
    <row r="14" spans="1:19" x14ac:dyDescent="0.3">
      <c r="A14" s="24" t="s">
        <v>47</v>
      </c>
      <c r="B14" s="27"/>
      <c r="C14" t="s">
        <v>18</v>
      </c>
      <c r="D14" s="3">
        <f>'compressor readings'!I14</f>
        <v>0</v>
      </c>
      <c r="E14" s="7">
        <f>'compressor readings'!J14</f>
        <v>0</v>
      </c>
      <c r="F14" s="8">
        <f t="shared" si="0"/>
        <v>0</v>
      </c>
      <c r="H14" t="s">
        <v>19</v>
      </c>
      <c r="I14" s="3">
        <f>'compressor readings'!I44</f>
        <v>0</v>
      </c>
      <c r="J14" s="7">
        <f>'compressor readings'!J44</f>
        <v>0</v>
      </c>
      <c r="K14" s="9">
        <f t="shared" si="1"/>
        <v>0</v>
      </c>
      <c r="L14" t="s">
        <v>20</v>
      </c>
      <c r="M14" s="3">
        <f>'compressor readings'!I75</f>
        <v>0</v>
      </c>
      <c r="N14" s="7">
        <f>'compressor readings'!J75</f>
        <v>0</v>
      </c>
      <c r="O14" s="9">
        <f t="shared" si="2"/>
        <v>0</v>
      </c>
      <c r="P14" t="s">
        <v>21</v>
      </c>
      <c r="Q14" s="3">
        <f>'compressor readings'!I106</f>
        <v>0</v>
      </c>
      <c r="R14" s="7">
        <f>'compressor readings'!J106</f>
        <v>0</v>
      </c>
      <c r="S14" s="9">
        <f t="shared" si="3"/>
        <v>0</v>
      </c>
    </row>
    <row r="15" spans="1:19" x14ac:dyDescent="0.3">
      <c r="A15" s="24" t="s">
        <v>48</v>
      </c>
      <c r="B15" s="27"/>
      <c r="C15" t="s">
        <v>18</v>
      </c>
      <c r="D15" s="3">
        <f>'compressor readings'!I15</f>
        <v>0</v>
      </c>
      <c r="E15" s="7">
        <f>'compressor readings'!J15</f>
        <v>0</v>
      </c>
      <c r="F15" s="8">
        <f t="shared" si="0"/>
        <v>0</v>
      </c>
      <c r="H15" t="s">
        <v>19</v>
      </c>
      <c r="I15" s="3">
        <f>'compressor readings'!I45</f>
        <v>0</v>
      </c>
      <c r="J15" s="7">
        <f>'compressor readings'!J45</f>
        <v>0</v>
      </c>
      <c r="K15" s="9">
        <f t="shared" si="1"/>
        <v>0</v>
      </c>
      <c r="L15" t="s">
        <v>20</v>
      </c>
      <c r="M15" s="3">
        <f>'compressor readings'!I76</f>
        <v>0</v>
      </c>
      <c r="N15" s="7">
        <f>'compressor readings'!J76</f>
        <v>0</v>
      </c>
      <c r="O15" s="9">
        <f t="shared" si="2"/>
        <v>0</v>
      </c>
      <c r="P15" t="s">
        <v>21</v>
      </c>
      <c r="Q15" s="3">
        <f>'compressor readings'!I107</f>
        <v>0</v>
      </c>
      <c r="R15" s="7">
        <f>'compressor readings'!J107</f>
        <v>0</v>
      </c>
      <c r="S15" s="9">
        <f t="shared" si="3"/>
        <v>0</v>
      </c>
    </row>
    <row r="16" spans="1:19" x14ac:dyDescent="0.3">
      <c r="A16" s="23" t="s">
        <v>46</v>
      </c>
      <c r="B16" s="26" t="s">
        <v>49</v>
      </c>
      <c r="C16" t="s">
        <v>18</v>
      </c>
      <c r="D16" s="3">
        <f>'compressor readings'!I16</f>
        <v>92.507204610944612</v>
      </c>
      <c r="E16" s="7">
        <f>'compressor readings'!J16</f>
        <v>6.5321805955840588</v>
      </c>
      <c r="F16" s="8">
        <f t="shared" si="0"/>
        <v>99.039385206528664</v>
      </c>
      <c r="H16" t="s">
        <v>19</v>
      </c>
      <c r="I16" s="3">
        <f>'compressor readings'!I46</f>
        <v>3.4740545294635115</v>
      </c>
      <c r="J16" s="7">
        <f>'compressor readings'!J46</f>
        <v>0.92539482237775639</v>
      </c>
      <c r="K16" s="9">
        <f t="shared" si="1"/>
        <v>4.3994493518412678</v>
      </c>
      <c r="L16" t="s">
        <v>20</v>
      </c>
      <c r="M16" s="3">
        <f>'compressor readings'!I77</f>
        <v>71.280276816611149</v>
      </c>
      <c r="N16" s="7">
        <f>'compressor readings'!J77</f>
        <v>12.802768166091072</v>
      </c>
      <c r="O16" s="9">
        <f t="shared" si="2"/>
        <v>84.083044982702219</v>
      </c>
      <c r="P16" t="s">
        <v>21</v>
      </c>
      <c r="Q16" s="3">
        <f>'compressor readings'!I108</f>
        <v>1.7276622508748167</v>
      </c>
      <c r="R16" s="7">
        <f>'compressor readings'!J108</f>
        <v>0</v>
      </c>
      <c r="S16" s="9">
        <f t="shared" si="3"/>
        <v>1.7276622508748167</v>
      </c>
    </row>
    <row r="17" spans="1:19" x14ac:dyDescent="0.3">
      <c r="A17" s="23" t="s">
        <v>51</v>
      </c>
      <c r="B17" s="26" t="s">
        <v>49</v>
      </c>
      <c r="C17" t="s">
        <v>18</v>
      </c>
      <c r="D17" s="3">
        <f>'compressor readings'!I17</f>
        <v>94.209039548041233</v>
      </c>
      <c r="E17" s="7">
        <f>'compressor readings'!J17</f>
        <v>7.6741996233576968</v>
      </c>
      <c r="F17" s="8">
        <f t="shared" si="0"/>
        <v>101.88323917139893</v>
      </c>
      <c r="H17" t="s">
        <v>19</v>
      </c>
      <c r="I17" s="3">
        <f>'compressor readings'!I47</f>
        <v>82.398956975230092</v>
      </c>
      <c r="J17" s="7">
        <f>'compressor readings'!J47</f>
        <v>17.64450239026807</v>
      </c>
      <c r="K17" s="9">
        <f t="shared" si="1"/>
        <v>100.04345936549817</v>
      </c>
      <c r="L17" t="s">
        <v>20</v>
      </c>
      <c r="M17" s="3">
        <f>'compressor readings'!I78</f>
        <v>88.469601677145207</v>
      </c>
      <c r="N17" s="7">
        <f>'compressor readings'!J78</f>
        <v>10.020964360586316</v>
      </c>
      <c r="O17" s="9">
        <f t="shared" si="2"/>
        <v>98.490566037731526</v>
      </c>
      <c r="P17" t="s">
        <v>21</v>
      </c>
    </row>
    <row r="18" spans="1:19" x14ac:dyDescent="0.3">
      <c r="A18" s="23" t="s">
        <v>52</v>
      </c>
      <c r="B18" s="26" t="s">
        <v>49</v>
      </c>
      <c r="C18" t="s">
        <v>18</v>
      </c>
      <c r="D18" s="3">
        <f>'compressor readings'!I18</f>
        <v>94.686452848249814</v>
      </c>
      <c r="E18" s="7">
        <f>'compressor readings'!J18</f>
        <v>5.3135471517327666</v>
      </c>
      <c r="F18" s="8">
        <f t="shared" si="0"/>
        <v>99.999999999982577</v>
      </c>
      <c r="H18" t="s">
        <v>19</v>
      </c>
      <c r="I18" s="3">
        <f>'compressor readings'!I48</f>
        <v>82.778702163064608</v>
      </c>
      <c r="J18" s="7">
        <f>'compressor readings'!J48</f>
        <v>13.851913477536632</v>
      </c>
      <c r="K18" s="9">
        <f t="shared" si="1"/>
        <v>96.630615640601235</v>
      </c>
      <c r="L18" t="s">
        <v>20</v>
      </c>
      <c r="M18" s="3">
        <f>'compressor readings'!I79</f>
        <v>80.366056572385105</v>
      </c>
      <c r="N18" s="7">
        <f>'compressor readings'!J79</f>
        <v>19.467554076539187</v>
      </c>
      <c r="O18" s="9">
        <f t="shared" si="2"/>
        <v>99.833610648924292</v>
      </c>
      <c r="P18" t="s">
        <v>21</v>
      </c>
      <c r="Q18" s="3">
        <f>'compressor readings'!I110</f>
        <v>100</v>
      </c>
      <c r="R18" s="7">
        <f>'compressor readings'!J110</f>
        <v>0</v>
      </c>
      <c r="S18" s="9">
        <f t="shared" si="3"/>
        <v>100</v>
      </c>
    </row>
    <row r="19" spans="1:19" x14ac:dyDescent="0.3">
      <c r="A19" s="23" t="s">
        <v>53</v>
      </c>
      <c r="B19" s="26" t="s">
        <v>49</v>
      </c>
      <c r="C19" t="s">
        <v>18</v>
      </c>
      <c r="D19" s="3">
        <f>'compressor readings'!I19</f>
        <v>95.291902071547113</v>
      </c>
      <c r="E19" s="7">
        <f>'compressor readings'!J19</f>
        <v>4.70809792843575</v>
      </c>
      <c r="F19" s="8">
        <f t="shared" si="0"/>
        <v>99.999999999982862</v>
      </c>
      <c r="H19" t="s">
        <v>19</v>
      </c>
      <c r="I19" s="3">
        <f>'compressor readings'!I49</f>
        <v>83.317843866162207</v>
      </c>
      <c r="J19" s="7">
        <f>'compressor readings'!J49</f>
        <v>18.355018587359378</v>
      </c>
      <c r="K19" s="9">
        <f t="shared" si="1"/>
        <v>101.67286245352159</v>
      </c>
      <c r="L19" t="s">
        <v>20</v>
      </c>
      <c r="M19" s="3">
        <f>'compressor readings'!I80</f>
        <v>89.135066041751315</v>
      </c>
      <c r="N19" s="7">
        <f>'compressor readings'!J80</f>
        <v>12.569237324244254</v>
      </c>
      <c r="O19" s="9">
        <f t="shared" si="2"/>
        <v>101.70430336599557</v>
      </c>
      <c r="P19" t="s">
        <v>21</v>
      </c>
      <c r="R19" s="7" t="e">
        <f>'compressor readings'!J111</f>
        <v>#DIV/0!</v>
      </c>
    </row>
    <row r="20" spans="1:19" x14ac:dyDescent="0.3">
      <c r="A20" s="23" t="s">
        <v>54</v>
      </c>
      <c r="B20" s="26" t="s">
        <v>49</v>
      </c>
      <c r="C20" t="s">
        <v>18</v>
      </c>
      <c r="D20" s="3">
        <f>'compressor readings'!I20</f>
        <v>53.25418157733106</v>
      </c>
      <c r="E20" s="7">
        <f>'compressor readings'!J20</f>
        <v>46.745818422668926</v>
      </c>
      <c r="F20" s="8">
        <f t="shared" si="0"/>
        <v>99.999999999999986</v>
      </c>
      <c r="H20" t="s">
        <v>19</v>
      </c>
      <c r="I20" s="3">
        <f>'compressor readings'!I50</f>
        <v>65.933522915657122</v>
      </c>
      <c r="J20" s="7">
        <f>'compressor readings'!J50</f>
        <v>34.064427627767671</v>
      </c>
      <c r="K20" s="9">
        <f t="shared" si="1"/>
        <v>99.997950543424793</v>
      </c>
      <c r="L20" t="s">
        <v>20</v>
      </c>
      <c r="M20" s="3">
        <f>'compressor readings'!I81</f>
        <v>66.484216351098098</v>
      </c>
      <c r="N20" s="7">
        <f>'compressor readings'!J81</f>
        <v>33.515783648901902</v>
      </c>
      <c r="O20" s="9">
        <f t="shared" si="2"/>
        <v>100</v>
      </c>
      <c r="P20" t="s">
        <v>21</v>
      </c>
      <c r="Q20" s="3">
        <f>'compressor readings'!I112</f>
        <v>62.473428299647026</v>
      </c>
      <c r="R20" s="7">
        <f>'compressor readings'!J112</f>
        <v>37.527259577211233</v>
      </c>
      <c r="S20" s="9">
        <f t="shared" si="3"/>
        <v>100.00068787685825</v>
      </c>
    </row>
    <row r="21" spans="1:19" x14ac:dyDescent="0.3">
      <c r="A21" s="24" t="s">
        <v>56</v>
      </c>
      <c r="B21" s="27"/>
      <c r="C21" t="s">
        <v>18</v>
      </c>
      <c r="D21" s="3">
        <f>'compressor readings'!I21</f>
        <v>0</v>
      </c>
      <c r="E21" s="7">
        <f>'compressor readings'!J21</f>
        <v>0</v>
      </c>
      <c r="F21" s="8">
        <f t="shared" si="0"/>
        <v>0</v>
      </c>
      <c r="H21" t="s">
        <v>19</v>
      </c>
      <c r="I21" s="3">
        <f>'compressor readings'!I51</f>
        <v>0</v>
      </c>
      <c r="J21" s="7">
        <f>'compressor readings'!J51</f>
        <v>0</v>
      </c>
      <c r="K21" s="9">
        <f t="shared" si="1"/>
        <v>0</v>
      </c>
      <c r="L21" t="s">
        <v>20</v>
      </c>
      <c r="M21" s="3">
        <f>'compressor readings'!I82</f>
        <v>0</v>
      </c>
      <c r="N21" s="7">
        <f>'compressor readings'!J82</f>
        <v>0</v>
      </c>
      <c r="O21" s="9">
        <f t="shared" si="2"/>
        <v>0</v>
      </c>
      <c r="P21" t="s">
        <v>21</v>
      </c>
      <c r="Q21" s="3">
        <f>'compressor readings'!I113</f>
        <v>0</v>
      </c>
      <c r="R21" s="7">
        <f>'compressor readings'!J113</f>
        <v>0</v>
      </c>
      <c r="S21" s="9">
        <f t="shared" si="3"/>
        <v>0</v>
      </c>
    </row>
    <row r="22" spans="1:19" x14ac:dyDescent="0.3">
      <c r="A22" s="24" t="s">
        <v>57</v>
      </c>
      <c r="B22" s="27"/>
      <c r="C22" t="s">
        <v>18</v>
      </c>
      <c r="D22" s="3">
        <f>'compressor readings'!I22</f>
        <v>0</v>
      </c>
      <c r="E22" s="7">
        <f>'compressor readings'!J22</f>
        <v>0</v>
      </c>
      <c r="F22" s="8">
        <f t="shared" si="0"/>
        <v>0</v>
      </c>
      <c r="H22" t="s">
        <v>19</v>
      </c>
      <c r="I22" s="3">
        <f>'compressor readings'!I52</f>
        <v>0</v>
      </c>
      <c r="J22" s="7">
        <f>'compressor readings'!J52</f>
        <v>0</v>
      </c>
      <c r="K22" s="9">
        <f t="shared" si="1"/>
        <v>0</v>
      </c>
      <c r="L22" t="s">
        <v>20</v>
      </c>
      <c r="M22" s="3">
        <f>'compressor readings'!I83</f>
        <v>0</v>
      </c>
      <c r="N22" s="7">
        <f>'compressor readings'!J83</f>
        <v>0</v>
      </c>
      <c r="O22" s="9">
        <f t="shared" si="2"/>
        <v>0</v>
      </c>
      <c r="P22" t="s">
        <v>21</v>
      </c>
      <c r="Q22" s="3">
        <f>'compressor readings'!I114</f>
        <v>0</v>
      </c>
      <c r="R22" s="7">
        <f>'compressor readings'!J114</f>
        <v>0</v>
      </c>
      <c r="S22" s="9">
        <f t="shared" si="3"/>
        <v>0</v>
      </c>
    </row>
    <row r="23" spans="1:19" x14ac:dyDescent="0.3">
      <c r="A23" s="23" t="s">
        <v>58</v>
      </c>
      <c r="B23" s="26" t="s">
        <v>49</v>
      </c>
      <c r="C23" t="s">
        <v>18</v>
      </c>
      <c r="D23" s="3">
        <f>'compressor readings'!I23</f>
        <v>53.284091178502869</v>
      </c>
      <c r="E23" s="7">
        <f>'compressor readings'!J23</f>
        <v>4.6715565223635815</v>
      </c>
      <c r="F23" s="8">
        <f t="shared" si="0"/>
        <v>57.95564770086645</v>
      </c>
      <c r="H23" t="s">
        <v>19</v>
      </c>
      <c r="I23" s="3">
        <f>'compressor readings'!I53</f>
        <v>658.98659096783558</v>
      </c>
      <c r="J23" s="7">
        <f>'compressor readings'!J53</f>
        <v>339.78541920797375</v>
      </c>
      <c r="L23" t="s">
        <v>20</v>
      </c>
      <c r="M23" s="3">
        <f>'compressor readings'!I84</f>
        <v>66.518222719533455</v>
      </c>
      <c r="N23" s="7">
        <f>'compressor readings'!J84</f>
        <v>33.478318392378</v>
      </c>
      <c r="O23" s="9">
        <f t="shared" si="2"/>
        <v>99.996541111911455</v>
      </c>
      <c r="P23" t="s">
        <v>21</v>
      </c>
      <c r="Q23" s="3">
        <f>'compressor readings'!I115</f>
        <v>62.476956752681033</v>
      </c>
      <c r="R23" s="7">
        <f>'compressor readings'!J115</f>
        <v>37.522257207542602</v>
      </c>
      <c r="S23" s="9">
        <f t="shared" si="3"/>
        <v>99.999213960223642</v>
      </c>
    </row>
    <row r="31" spans="1:19" x14ac:dyDescent="0.3">
      <c r="B31" s="26" t="s">
        <v>1</v>
      </c>
    </row>
    <row r="32" spans="1:19" x14ac:dyDescent="0.3">
      <c r="A32" s="23" t="str">
        <f>A2</f>
        <v>01.06.2026</v>
      </c>
      <c r="B32" s="26">
        <f>B2</f>
        <v>0.41666666666666669</v>
      </c>
    </row>
    <row r="33" spans="1:2" x14ac:dyDescent="0.3">
      <c r="A33" s="23" t="str">
        <f>A3</f>
        <v>02.06.2026</v>
      </c>
      <c r="B33" s="26">
        <f>B3</f>
        <v>0.41666666666666669</v>
      </c>
    </row>
    <row r="34" spans="1:2" x14ac:dyDescent="0.3">
      <c r="A34" s="23" t="s">
        <v>35</v>
      </c>
      <c r="B34" s="26" t="s">
        <v>36</v>
      </c>
    </row>
    <row r="35" spans="1:2" x14ac:dyDescent="0.3">
      <c r="A35" s="23" t="s">
        <v>37</v>
      </c>
      <c r="B35" s="26" t="s">
        <v>36</v>
      </c>
    </row>
    <row r="36" spans="1:2" x14ac:dyDescent="0.3">
      <c r="A36" s="23" t="str">
        <f>A6</f>
        <v>05.06.2026</v>
      </c>
      <c r="B36" s="26" t="s">
        <v>36</v>
      </c>
    </row>
    <row r="37" spans="1:2" x14ac:dyDescent="0.3">
      <c r="A37" s="24" t="str">
        <f t="shared" ref="A37:A49" si="4">A7</f>
        <v>06.06.2026</v>
      </c>
      <c r="B37" s="27" t="s">
        <v>36</v>
      </c>
    </row>
    <row r="38" spans="1:2" x14ac:dyDescent="0.3">
      <c r="A38" s="24" t="str">
        <f t="shared" si="4"/>
        <v>07.06.2026</v>
      </c>
      <c r="B38" s="27" t="s">
        <v>36</v>
      </c>
    </row>
    <row r="39" spans="1:2" x14ac:dyDescent="0.3">
      <c r="A39" s="23" t="str">
        <f t="shared" si="4"/>
        <v>08.06.2026</v>
      </c>
      <c r="B39" s="26" t="s">
        <v>36</v>
      </c>
    </row>
    <row r="40" spans="1:2" x14ac:dyDescent="0.3">
      <c r="A40" s="23" t="str">
        <f t="shared" si="4"/>
        <v>09.06.2026</v>
      </c>
      <c r="B40" s="26" t="s">
        <v>36</v>
      </c>
    </row>
    <row r="41" spans="1:2" x14ac:dyDescent="0.3">
      <c r="A41" s="23" t="str">
        <f t="shared" si="4"/>
        <v>10.06.2026</v>
      </c>
      <c r="B41" s="26" t="s">
        <v>36</v>
      </c>
    </row>
    <row r="42" spans="1:2" x14ac:dyDescent="0.3">
      <c r="A42" s="23" t="str">
        <f t="shared" si="4"/>
        <v>11.06.2026</v>
      </c>
      <c r="B42" s="26" t="s">
        <v>36</v>
      </c>
    </row>
    <row r="43" spans="1:2" x14ac:dyDescent="0.3">
      <c r="A43" s="23" t="str">
        <f t="shared" si="4"/>
        <v>12.06.2026</v>
      </c>
      <c r="B43" s="26" t="s">
        <v>36</v>
      </c>
    </row>
    <row r="44" spans="1:2" x14ac:dyDescent="0.3">
      <c r="A44" s="25" t="str">
        <f t="shared" si="4"/>
        <v>13.06.2026</v>
      </c>
      <c r="B44" s="28"/>
    </row>
    <row r="45" spans="1:2" x14ac:dyDescent="0.3">
      <c r="A45" s="25" t="str">
        <f t="shared" si="4"/>
        <v>14.06.2026</v>
      </c>
      <c r="B45" s="28"/>
    </row>
    <row r="46" spans="1:2" x14ac:dyDescent="0.3">
      <c r="A46" s="23" t="str">
        <f t="shared" si="4"/>
        <v>15.06.2026</v>
      </c>
      <c r="B46" s="26" t="s">
        <v>36</v>
      </c>
    </row>
    <row r="47" spans="1:2" x14ac:dyDescent="0.3">
      <c r="A47" s="23" t="str">
        <f t="shared" si="4"/>
        <v>16.06.2026</v>
      </c>
      <c r="B47" s="26" t="s">
        <v>36</v>
      </c>
    </row>
    <row r="48" spans="1:2" x14ac:dyDescent="0.3">
      <c r="A48" s="23" t="str">
        <f t="shared" si="4"/>
        <v>17.06.2026</v>
      </c>
      <c r="B48" s="26" t="s">
        <v>36</v>
      </c>
    </row>
    <row r="49" spans="1:2" x14ac:dyDescent="0.3">
      <c r="A49" s="23" t="str">
        <f t="shared" si="4"/>
        <v>18.06.2026</v>
      </c>
      <c r="B49" s="26" t="s">
        <v>55</v>
      </c>
    </row>
    <row r="50" spans="1:2" x14ac:dyDescent="0.3">
      <c r="A50" s="23" t="str">
        <f>A20</f>
        <v>19.06.2026</v>
      </c>
      <c r="B50" s="26" t="s">
        <v>55</v>
      </c>
    </row>
    <row r="51" spans="1:2" x14ac:dyDescent="0.3">
      <c r="A51" s="24" t="str">
        <f t="shared" ref="A51:A53" si="5">A21</f>
        <v>20.06.2026</v>
      </c>
      <c r="B51" s="27"/>
    </row>
    <row r="52" spans="1:2" x14ac:dyDescent="0.3">
      <c r="A52" s="24" t="str">
        <f t="shared" si="5"/>
        <v>21.06.2026</v>
      </c>
      <c r="B52" s="27"/>
    </row>
    <row r="53" spans="1:2" x14ac:dyDescent="0.3">
      <c r="A53" s="23" t="str">
        <f t="shared" si="5"/>
        <v>22.06.2026</v>
      </c>
      <c r="B53" s="26" t="s">
        <v>49</v>
      </c>
    </row>
    <row r="62" spans="1:2" x14ac:dyDescent="0.3">
      <c r="A62" s="23" t="s">
        <v>0</v>
      </c>
      <c r="B62" s="26" t="s">
        <v>1</v>
      </c>
    </row>
    <row r="63" spans="1:2" x14ac:dyDescent="0.3">
      <c r="A63" s="23" t="str">
        <f>A2</f>
        <v>01.06.2026</v>
      </c>
      <c r="B63" s="26">
        <f t="shared" ref="A63:B74" si="6">B2</f>
        <v>0.41666666666666669</v>
      </c>
    </row>
    <row r="64" spans="1:2" x14ac:dyDescent="0.3">
      <c r="A64" s="23" t="str">
        <f t="shared" si="6"/>
        <v>02.06.2026</v>
      </c>
      <c r="B64" s="26">
        <f t="shared" si="6"/>
        <v>0.41666666666666669</v>
      </c>
    </row>
    <row r="65" spans="1:2" x14ac:dyDescent="0.3">
      <c r="A65" s="23" t="str">
        <f t="shared" si="6"/>
        <v>03.06.2026</v>
      </c>
      <c r="B65" s="26">
        <f t="shared" si="6"/>
        <v>0.41666666666666669</v>
      </c>
    </row>
    <row r="66" spans="1:2" x14ac:dyDescent="0.3">
      <c r="A66" s="23" t="str">
        <f t="shared" si="6"/>
        <v>04.06.2026</v>
      </c>
      <c r="B66" s="26">
        <f t="shared" si="6"/>
        <v>0.41666666666666669</v>
      </c>
    </row>
    <row r="67" spans="1:2" x14ac:dyDescent="0.3">
      <c r="A67" s="23" t="str">
        <f t="shared" si="6"/>
        <v>05.06.2026</v>
      </c>
      <c r="B67" s="26">
        <f t="shared" si="6"/>
        <v>0.41666666666666669</v>
      </c>
    </row>
    <row r="68" spans="1:2" x14ac:dyDescent="0.3">
      <c r="A68" s="24" t="str">
        <f t="shared" si="6"/>
        <v>06.06.2026</v>
      </c>
      <c r="B68" s="27">
        <f t="shared" si="6"/>
        <v>0.41666666666666669</v>
      </c>
    </row>
    <row r="69" spans="1:2" x14ac:dyDescent="0.3">
      <c r="A69" s="24" t="str">
        <f t="shared" si="6"/>
        <v>07.06.2026</v>
      </c>
      <c r="B69" s="27">
        <f t="shared" si="6"/>
        <v>0.41666666666666669</v>
      </c>
    </row>
    <row r="70" spans="1:2" x14ac:dyDescent="0.3">
      <c r="A70" s="23" t="str">
        <f t="shared" si="6"/>
        <v>08.06.2026</v>
      </c>
      <c r="B70" s="26">
        <f t="shared" si="6"/>
        <v>0.41666666666666669</v>
      </c>
    </row>
    <row r="71" spans="1:2" x14ac:dyDescent="0.3">
      <c r="A71" s="23" t="str">
        <f t="shared" si="6"/>
        <v>09.06.2026</v>
      </c>
      <c r="B71" s="26">
        <f t="shared" si="6"/>
        <v>0.41666666666666669</v>
      </c>
    </row>
    <row r="72" spans="1:2" x14ac:dyDescent="0.3">
      <c r="A72" s="23" t="str">
        <f t="shared" si="6"/>
        <v>10.06.2026</v>
      </c>
      <c r="B72" s="26">
        <f t="shared" si="6"/>
        <v>0.41666666666666669</v>
      </c>
    </row>
    <row r="73" spans="1:2" x14ac:dyDescent="0.3">
      <c r="A73" s="23" t="str">
        <f t="shared" si="6"/>
        <v>11.06.2026</v>
      </c>
      <c r="B73" s="26">
        <f t="shared" si="6"/>
        <v>0.41666666666666669</v>
      </c>
    </row>
    <row r="74" spans="1:2" x14ac:dyDescent="0.3">
      <c r="A74" s="23" t="str">
        <f t="shared" si="6"/>
        <v>12.06.2026</v>
      </c>
      <c r="B74" s="26">
        <f t="shared" si="6"/>
        <v>0.41666666666666669</v>
      </c>
    </row>
    <row r="75" spans="1:2" x14ac:dyDescent="0.3">
      <c r="A75" s="25" t="s">
        <v>47</v>
      </c>
      <c r="B75" s="28" t="s">
        <v>49</v>
      </c>
    </row>
    <row r="76" spans="1:2" x14ac:dyDescent="0.3">
      <c r="A76" s="25" t="s">
        <v>48</v>
      </c>
      <c r="B76" s="28" t="s">
        <v>49</v>
      </c>
    </row>
    <row r="77" spans="1:2" x14ac:dyDescent="0.3">
      <c r="A77" s="23" t="s">
        <v>46</v>
      </c>
      <c r="B77" s="26" t="s">
        <v>49</v>
      </c>
    </row>
    <row r="78" spans="1:2" x14ac:dyDescent="0.3">
      <c r="A78" s="23" t="s">
        <v>51</v>
      </c>
      <c r="B78" s="26" t="s">
        <v>49</v>
      </c>
    </row>
    <row r="79" spans="1:2" x14ac:dyDescent="0.3">
      <c r="A79" s="23" t="s">
        <v>52</v>
      </c>
      <c r="B79" s="26" t="s">
        <v>49</v>
      </c>
    </row>
    <row r="80" spans="1:2" x14ac:dyDescent="0.3">
      <c r="A80" s="23" t="s">
        <v>53</v>
      </c>
      <c r="B80" s="26" t="s">
        <v>49</v>
      </c>
    </row>
    <row r="81" spans="1:2" x14ac:dyDescent="0.3">
      <c r="A81" s="23" t="s">
        <v>54</v>
      </c>
      <c r="B81" s="26" t="s">
        <v>49</v>
      </c>
    </row>
    <row r="82" spans="1:2" x14ac:dyDescent="0.3">
      <c r="A82" s="24" t="s">
        <v>56</v>
      </c>
      <c r="B82" s="26" t="s">
        <v>49</v>
      </c>
    </row>
    <row r="83" spans="1:2" x14ac:dyDescent="0.3">
      <c r="A83" s="24" t="s">
        <v>57</v>
      </c>
      <c r="B83" s="26" t="s">
        <v>49</v>
      </c>
    </row>
    <row r="84" spans="1:2" x14ac:dyDescent="0.3">
      <c r="A84" s="23" t="s">
        <v>58</v>
      </c>
      <c r="B84" s="26" t="s">
        <v>49</v>
      </c>
    </row>
    <row r="93" spans="1:2" x14ac:dyDescent="0.3">
      <c r="A93" s="23" t="s">
        <v>0</v>
      </c>
      <c r="B93" s="26" t="s">
        <v>1</v>
      </c>
    </row>
    <row r="94" spans="1:2" x14ac:dyDescent="0.3">
      <c r="A94" s="23" t="str">
        <f t="shared" ref="A94:B105" si="7">A2</f>
        <v>01.06.2026</v>
      </c>
      <c r="B94" s="26">
        <f t="shared" si="7"/>
        <v>0.41666666666666669</v>
      </c>
    </row>
    <row r="95" spans="1:2" x14ac:dyDescent="0.3">
      <c r="A95" s="23" t="str">
        <f t="shared" si="7"/>
        <v>02.06.2026</v>
      </c>
      <c r="B95" s="26">
        <f t="shared" si="7"/>
        <v>0.41666666666666669</v>
      </c>
    </row>
    <row r="96" spans="1:2" x14ac:dyDescent="0.3">
      <c r="A96" s="23" t="str">
        <f t="shared" si="7"/>
        <v>03.06.2026</v>
      </c>
      <c r="B96" s="26">
        <f t="shared" si="7"/>
        <v>0.41666666666666669</v>
      </c>
    </row>
    <row r="97" spans="1:2" x14ac:dyDescent="0.3">
      <c r="A97" s="23" t="str">
        <f t="shared" si="7"/>
        <v>04.06.2026</v>
      </c>
      <c r="B97" s="26">
        <f t="shared" si="7"/>
        <v>0.41666666666666669</v>
      </c>
    </row>
    <row r="98" spans="1:2" x14ac:dyDescent="0.3">
      <c r="A98" s="23" t="str">
        <f t="shared" si="7"/>
        <v>05.06.2026</v>
      </c>
      <c r="B98" s="26">
        <f t="shared" si="7"/>
        <v>0.41666666666666669</v>
      </c>
    </row>
    <row r="99" spans="1:2" x14ac:dyDescent="0.3">
      <c r="A99" s="24" t="str">
        <f t="shared" si="7"/>
        <v>06.06.2026</v>
      </c>
      <c r="B99" s="27">
        <f t="shared" si="7"/>
        <v>0.41666666666666669</v>
      </c>
    </row>
    <row r="100" spans="1:2" x14ac:dyDescent="0.3">
      <c r="A100" s="24" t="str">
        <f t="shared" si="7"/>
        <v>07.06.2026</v>
      </c>
      <c r="B100" s="27">
        <f t="shared" si="7"/>
        <v>0.41666666666666669</v>
      </c>
    </row>
    <row r="101" spans="1:2" x14ac:dyDescent="0.3">
      <c r="A101" s="23" t="str">
        <f t="shared" si="7"/>
        <v>08.06.2026</v>
      </c>
      <c r="B101" s="26">
        <f t="shared" si="7"/>
        <v>0.41666666666666669</v>
      </c>
    </row>
    <row r="102" spans="1:2" x14ac:dyDescent="0.3">
      <c r="A102" s="23" t="str">
        <f t="shared" si="7"/>
        <v>09.06.2026</v>
      </c>
      <c r="B102" s="26">
        <f t="shared" si="7"/>
        <v>0.41666666666666669</v>
      </c>
    </row>
    <row r="103" spans="1:2" x14ac:dyDescent="0.3">
      <c r="A103" s="23" t="str">
        <f t="shared" si="7"/>
        <v>10.06.2026</v>
      </c>
      <c r="B103" s="26">
        <f t="shared" si="7"/>
        <v>0.41666666666666669</v>
      </c>
    </row>
    <row r="104" spans="1:2" x14ac:dyDescent="0.3">
      <c r="A104" s="23" t="str">
        <f t="shared" si="7"/>
        <v>11.06.2026</v>
      </c>
      <c r="B104" s="26">
        <f t="shared" si="7"/>
        <v>0.41666666666666669</v>
      </c>
    </row>
    <row r="105" spans="1:2" x14ac:dyDescent="0.3">
      <c r="A105" s="23" t="str">
        <f t="shared" si="7"/>
        <v>12.06.2026</v>
      </c>
      <c r="B105" s="26">
        <f t="shared" si="7"/>
        <v>0.41666666666666669</v>
      </c>
    </row>
    <row r="106" spans="1:2" x14ac:dyDescent="0.3">
      <c r="A106" s="25" t="str">
        <f>A14</f>
        <v>13.06.2026</v>
      </c>
      <c r="B106" s="28" t="s">
        <v>49</v>
      </c>
    </row>
    <row r="107" spans="1:2" x14ac:dyDescent="0.3">
      <c r="A107" s="25" t="str">
        <f>A15</f>
        <v>14.06.2026</v>
      </c>
      <c r="B107" s="28" t="s">
        <v>49</v>
      </c>
    </row>
    <row r="108" spans="1:2" x14ac:dyDescent="0.3">
      <c r="A108" s="23" t="s">
        <v>50</v>
      </c>
      <c r="B108" s="26" t="str">
        <f>B16</f>
        <v>10.00.00</v>
      </c>
    </row>
    <row r="109" spans="1:2" x14ac:dyDescent="0.3">
      <c r="A109" s="23" t="s">
        <v>51</v>
      </c>
      <c r="B109" s="26" t="s">
        <v>49</v>
      </c>
    </row>
    <row r="110" spans="1:2" x14ac:dyDescent="0.3">
      <c r="A110" s="23" t="s">
        <v>52</v>
      </c>
      <c r="B110" s="26" t="s">
        <v>49</v>
      </c>
    </row>
    <row r="111" spans="1:2" x14ac:dyDescent="0.3">
      <c r="A111" s="23" t="s">
        <v>53</v>
      </c>
      <c r="B111" s="26" t="s">
        <v>49</v>
      </c>
    </row>
    <row r="112" spans="1:2" x14ac:dyDescent="0.3">
      <c r="A112" s="23" t="s">
        <v>54</v>
      </c>
      <c r="B112" s="26" t="s">
        <v>49</v>
      </c>
    </row>
    <row r="113" spans="1:2" x14ac:dyDescent="0.3">
      <c r="A113" s="24" t="s">
        <v>56</v>
      </c>
      <c r="B113" s="27"/>
    </row>
    <row r="114" spans="1:2" x14ac:dyDescent="0.3">
      <c r="A114" s="24" t="s">
        <v>57</v>
      </c>
      <c r="B114" s="27"/>
    </row>
    <row r="115" spans="1:2" x14ac:dyDescent="0.3">
      <c r="A115" s="23" t="s">
        <v>58</v>
      </c>
      <c r="B115" s="26" t="s">
        <v>49</v>
      </c>
    </row>
    <row r="123" spans="1:2" x14ac:dyDescent="0.3">
      <c r="A123" s="23" t="s">
        <v>0</v>
      </c>
      <c r="B123" s="26" t="s">
        <v>1</v>
      </c>
    </row>
    <row r="124" spans="1:2" x14ac:dyDescent="0.3">
      <c r="A124" s="23" t="str">
        <f>A94</f>
        <v>01.06.2026</v>
      </c>
      <c r="B124" s="26">
        <f t="shared" ref="B124:B135" si="8">B2</f>
        <v>0.41666666666666669</v>
      </c>
    </row>
    <row r="125" spans="1:2" x14ac:dyDescent="0.3">
      <c r="A125" s="23" t="str">
        <f t="shared" ref="A125:B138" si="9">A3</f>
        <v>02.06.2026</v>
      </c>
      <c r="B125" s="26">
        <f t="shared" si="8"/>
        <v>0.41666666666666669</v>
      </c>
    </row>
    <row r="126" spans="1:2" x14ac:dyDescent="0.3">
      <c r="A126" s="23" t="str">
        <f t="shared" si="9"/>
        <v>03.06.2026</v>
      </c>
      <c r="B126" s="26">
        <f t="shared" si="8"/>
        <v>0.41666666666666669</v>
      </c>
    </row>
    <row r="127" spans="1:2" x14ac:dyDescent="0.3">
      <c r="A127" s="23" t="str">
        <f t="shared" si="9"/>
        <v>04.06.2026</v>
      </c>
      <c r="B127" s="26">
        <f t="shared" si="8"/>
        <v>0.41666666666666669</v>
      </c>
    </row>
    <row r="128" spans="1:2" x14ac:dyDescent="0.3">
      <c r="A128" s="23" t="str">
        <f t="shared" si="9"/>
        <v>05.06.2026</v>
      </c>
      <c r="B128" s="26">
        <f t="shared" si="8"/>
        <v>0.41666666666666669</v>
      </c>
    </row>
    <row r="129" spans="1:2" x14ac:dyDescent="0.3">
      <c r="A129" s="24" t="str">
        <f t="shared" si="9"/>
        <v>06.06.2026</v>
      </c>
      <c r="B129" s="27">
        <f t="shared" si="8"/>
        <v>0.41666666666666669</v>
      </c>
    </row>
    <row r="130" spans="1:2" x14ac:dyDescent="0.3">
      <c r="A130" s="24" t="str">
        <f t="shared" si="9"/>
        <v>07.06.2026</v>
      </c>
      <c r="B130" s="27">
        <f t="shared" si="8"/>
        <v>0.41666666666666669</v>
      </c>
    </row>
    <row r="131" spans="1:2" x14ac:dyDescent="0.3">
      <c r="A131" s="23" t="str">
        <f t="shared" si="9"/>
        <v>08.06.2026</v>
      </c>
      <c r="B131" s="26">
        <f t="shared" si="8"/>
        <v>0.41666666666666669</v>
      </c>
    </row>
    <row r="132" spans="1:2" x14ac:dyDescent="0.3">
      <c r="A132" s="23" t="str">
        <f t="shared" si="9"/>
        <v>09.06.2026</v>
      </c>
      <c r="B132" s="26">
        <f t="shared" si="8"/>
        <v>0.41666666666666669</v>
      </c>
    </row>
    <row r="133" spans="1:2" x14ac:dyDescent="0.3">
      <c r="A133" s="23" t="str">
        <f t="shared" si="9"/>
        <v>10.06.2026</v>
      </c>
      <c r="B133" s="26">
        <f t="shared" si="8"/>
        <v>0.41666666666666669</v>
      </c>
    </row>
    <row r="134" spans="1:2" x14ac:dyDescent="0.3">
      <c r="A134" s="23" t="str">
        <f t="shared" si="9"/>
        <v>11.06.2026</v>
      </c>
      <c r="B134" s="26">
        <f t="shared" si="8"/>
        <v>0.41666666666666669</v>
      </c>
    </row>
    <row r="135" spans="1:2" x14ac:dyDescent="0.3">
      <c r="A135" s="23" t="str">
        <f t="shared" si="9"/>
        <v>12.06.2026</v>
      </c>
      <c r="B135" s="26">
        <f t="shared" si="8"/>
        <v>0.41666666666666669</v>
      </c>
    </row>
    <row r="136" spans="1:2" x14ac:dyDescent="0.3">
      <c r="A136" s="25" t="str">
        <f t="shared" si="9"/>
        <v>13.06.2026</v>
      </c>
      <c r="B136" s="28" t="s">
        <v>49</v>
      </c>
    </row>
    <row r="137" spans="1:2" x14ac:dyDescent="0.3">
      <c r="A137" s="25" t="str">
        <f t="shared" si="9"/>
        <v>14.06.2026</v>
      </c>
      <c r="B137" s="28" t="s">
        <v>49</v>
      </c>
    </row>
    <row r="138" spans="1:2" x14ac:dyDescent="0.3">
      <c r="A138" s="23" t="str">
        <f t="shared" si="9"/>
        <v>15.06.2026</v>
      </c>
      <c r="B138" s="26" t="str">
        <f t="shared" si="9"/>
        <v>10.00.00</v>
      </c>
    </row>
    <row r="139" spans="1:2" x14ac:dyDescent="0.3">
      <c r="A139" s="23" t="s">
        <v>51</v>
      </c>
      <c r="B139" s="26" t="str">
        <f>B17</f>
        <v>10.00.00</v>
      </c>
    </row>
    <row r="140" spans="1:2" x14ac:dyDescent="0.3">
      <c r="A140" s="23" t="s">
        <v>52</v>
      </c>
      <c r="B140" s="26" t="str">
        <f t="shared" ref="B140:B142" si="10">B18</f>
        <v>10.00.00</v>
      </c>
    </row>
    <row r="141" spans="1:2" x14ac:dyDescent="0.3">
      <c r="A141" s="23" t="s">
        <v>53</v>
      </c>
      <c r="B141" s="26" t="str">
        <f t="shared" si="10"/>
        <v>10.00.00</v>
      </c>
    </row>
    <row r="142" spans="1:2" x14ac:dyDescent="0.3">
      <c r="A142" s="23" t="s">
        <v>54</v>
      </c>
      <c r="B142" s="26" t="str">
        <f t="shared" si="10"/>
        <v>10.00.00</v>
      </c>
    </row>
    <row r="143" spans="1:2" x14ac:dyDescent="0.3">
      <c r="A143" s="24" t="s">
        <v>56</v>
      </c>
      <c r="B143" s="27"/>
    </row>
    <row r="144" spans="1:2" x14ac:dyDescent="0.3">
      <c r="A144" s="24" t="s">
        <v>57</v>
      </c>
      <c r="B144" s="27"/>
    </row>
    <row r="145" spans="1:2" x14ac:dyDescent="0.3">
      <c r="A145" s="23" t="s">
        <v>60</v>
      </c>
      <c r="B145" s="26" t="s">
        <v>49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66C48-ECEA-4032-ADB4-F810F6214520}">
  <dimension ref="A1:G145"/>
  <sheetViews>
    <sheetView workbookViewId="0">
      <selection activeCell="C14" sqref="C14"/>
    </sheetView>
  </sheetViews>
  <sheetFormatPr defaultRowHeight="14.4" x14ac:dyDescent="0.3"/>
  <cols>
    <col min="1" max="1" width="16.77734375" style="23" customWidth="1"/>
    <col min="2" max="2" width="16.77734375" style="2" customWidth="1"/>
    <col min="3" max="3" width="28.44140625" customWidth="1"/>
    <col min="4" max="4" width="16.5546875" style="3" customWidth="1"/>
    <col min="5" max="5" width="11.88671875" style="9" customWidth="1"/>
    <col min="6" max="6" width="12.5546875" style="10" customWidth="1"/>
    <col min="7" max="7" width="14.6640625" style="11" customWidth="1"/>
  </cols>
  <sheetData>
    <row r="1" spans="1:7" x14ac:dyDescent="0.3">
      <c r="A1" s="23" t="s">
        <v>0</v>
      </c>
      <c r="B1" s="2" t="s">
        <v>1</v>
      </c>
      <c r="C1" t="s">
        <v>66</v>
      </c>
      <c r="D1" s="3" t="s">
        <v>25</v>
      </c>
      <c r="E1" s="9" t="s">
        <v>26</v>
      </c>
      <c r="F1" s="10" t="s">
        <v>27</v>
      </c>
      <c r="G1" s="11" t="s">
        <v>28</v>
      </c>
    </row>
    <row r="2" spans="1:7" x14ac:dyDescent="0.3">
      <c r="A2" s="23" t="s">
        <v>134</v>
      </c>
      <c r="B2" s="2">
        <v>0.41666666666666669</v>
      </c>
      <c r="C2">
        <f>D2+E2+F2+G2</f>
        <v>100</v>
      </c>
      <c r="D2" s="3">
        <f>'compressor readings'!N124</f>
        <v>48.709758236252476</v>
      </c>
      <c r="E2" s="9">
        <f>'compressor readings'!O124</f>
        <v>16.084178880120113</v>
      </c>
      <c r="F2" s="10">
        <f>'compressor readings'!P124</f>
        <v>23.831892772140659</v>
      </c>
      <c r="G2" s="11">
        <f>'compressor readings'!Q124</f>
        <v>11.37417011148675</v>
      </c>
    </row>
    <row r="3" spans="1:7" x14ac:dyDescent="0.3">
      <c r="A3" s="23" t="s">
        <v>133</v>
      </c>
      <c r="B3" s="2">
        <v>0.41666666666666669</v>
      </c>
      <c r="C3">
        <f t="shared" ref="C3:C23" si="0">D3+E3+F3+G3</f>
        <v>100</v>
      </c>
      <c r="D3" s="3">
        <f>'compressor readings'!N125</f>
        <v>45.996387718242019</v>
      </c>
      <c r="E3" s="9">
        <f>'compressor readings'!O125</f>
        <v>22.621914509331727</v>
      </c>
      <c r="F3" s="10">
        <f>'compressor readings'!P125</f>
        <v>23.961468994581576</v>
      </c>
      <c r="G3" s="11">
        <f>'compressor readings'!Q125</f>
        <v>7.4202287778446712</v>
      </c>
    </row>
    <row r="4" spans="1:7" x14ac:dyDescent="0.3">
      <c r="A4" s="23" t="s">
        <v>34</v>
      </c>
      <c r="B4" s="2">
        <v>0.41666666666666669</v>
      </c>
      <c r="C4">
        <f t="shared" si="0"/>
        <v>100</v>
      </c>
      <c r="D4" s="3">
        <f>'compressor readings'!N126</f>
        <v>43.018367519679693</v>
      </c>
      <c r="E4" s="9">
        <f>'compressor readings'!O126</f>
        <v>18.892305956041998</v>
      </c>
      <c r="F4" s="10">
        <f>'compressor readings'!P126</f>
        <v>23.643596760996459</v>
      </c>
      <c r="G4" s="11">
        <f>'compressor readings'!Q126</f>
        <v>14.445729763281848</v>
      </c>
    </row>
    <row r="5" spans="1:7" x14ac:dyDescent="0.3">
      <c r="A5" s="23" t="s">
        <v>37</v>
      </c>
      <c r="B5" s="2">
        <v>0.41666666666666669</v>
      </c>
      <c r="C5">
        <f t="shared" si="0"/>
        <v>100</v>
      </c>
      <c r="D5" s="3">
        <f>'compressor readings'!N127</f>
        <v>42.068874695462924</v>
      </c>
      <c r="E5" s="9">
        <f>'compressor readings'!O127</f>
        <v>18.529005070125898</v>
      </c>
      <c r="F5" s="10">
        <f>'compressor readings'!P127</f>
        <v>26.535853032198641</v>
      </c>
      <c r="G5" s="11">
        <f>'compressor readings'!Q127</f>
        <v>12.866267202212539</v>
      </c>
    </row>
    <row r="6" spans="1:7" x14ac:dyDescent="0.3">
      <c r="A6" s="23" t="s">
        <v>38</v>
      </c>
      <c r="B6" s="2">
        <v>0.41666666666666669</v>
      </c>
      <c r="C6">
        <f t="shared" si="0"/>
        <v>99.999999999999986</v>
      </c>
      <c r="D6" s="3">
        <f>'compressor readings'!N128</f>
        <v>41.390030257803225</v>
      </c>
      <c r="E6" s="9">
        <f>'compressor readings'!O128</f>
        <v>4.7145686813371448</v>
      </c>
      <c r="F6" s="10">
        <f>'compressor readings'!P128</f>
        <v>46.651002443099955</v>
      </c>
      <c r="G6" s="11">
        <f>'compressor readings'!Q128</f>
        <v>7.2443986177596527</v>
      </c>
    </row>
    <row r="7" spans="1:7" x14ac:dyDescent="0.3">
      <c r="A7" s="24" t="s">
        <v>39</v>
      </c>
      <c r="B7" s="4">
        <v>0.41666666666666669</v>
      </c>
      <c r="C7">
        <f t="shared" si="0"/>
        <v>0</v>
      </c>
      <c r="D7" s="3">
        <f>'compressor readings'!N129</f>
        <v>0</v>
      </c>
      <c r="E7" s="9">
        <f>'compressor readings'!O129</f>
        <v>0</v>
      </c>
      <c r="F7" s="10">
        <f>'compressor readings'!P129</f>
        <v>0</v>
      </c>
      <c r="G7" s="11">
        <f>'compressor readings'!Q129</f>
        <v>0</v>
      </c>
    </row>
    <row r="8" spans="1:7" x14ac:dyDescent="0.3">
      <c r="A8" s="24" t="s">
        <v>40</v>
      </c>
      <c r="B8" s="4">
        <v>0.41666666666666669</v>
      </c>
      <c r="C8">
        <f t="shared" si="0"/>
        <v>0</v>
      </c>
      <c r="D8" s="3">
        <f>'compressor readings'!N130</f>
        <v>0</v>
      </c>
      <c r="E8" s="9">
        <f>'compressor readings'!O130</f>
        <v>0</v>
      </c>
      <c r="F8" s="10">
        <f>'compressor readings'!P130</f>
        <v>0</v>
      </c>
      <c r="G8" s="11">
        <f>'compressor readings'!Q130</f>
        <v>0</v>
      </c>
    </row>
    <row r="9" spans="1:7" x14ac:dyDescent="0.3">
      <c r="A9" s="23" t="s">
        <v>41</v>
      </c>
      <c r="B9" s="2">
        <v>0.41666666666666669</v>
      </c>
      <c r="C9">
        <f t="shared" si="0"/>
        <v>100</v>
      </c>
      <c r="D9" s="3">
        <f>'compressor readings'!N131</f>
        <v>39.691669829776508</v>
      </c>
      <c r="E9" s="9">
        <f>'compressor readings'!O131</f>
        <v>17.877894245087326</v>
      </c>
      <c r="F9" s="10">
        <f>'compressor readings'!P131</f>
        <v>20.788928143887293</v>
      </c>
      <c r="G9" s="11">
        <f>'compressor readings'!Q131</f>
        <v>21.64150778124888</v>
      </c>
    </row>
    <row r="10" spans="1:7" x14ac:dyDescent="0.3">
      <c r="A10" s="23" t="s">
        <v>42</v>
      </c>
      <c r="B10" s="2">
        <v>0.41666666666666669</v>
      </c>
      <c r="C10">
        <f t="shared" si="0"/>
        <v>100</v>
      </c>
      <c r="D10" s="3">
        <f>'compressor readings'!N132</f>
        <v>43.027926549349786</v>
      </c>
      <c r="E10" s="9">
        <f>'compressor readings'!O132</f>
        <v>20.192552920173359</v>
      </c>
      <c r="F10" s="10">
        <f>'compressor readings'!P132</f>
        <v>27.2570772762049</v>
      </c>
      <c r="G10" s="11">
        <f>'compressor readings'!Q132</f>
        <v>9.5224432542719555</v>
      </c>
    </row>
    <row r="11" spans="1:7" x14ac:dyDescent="0.3">
      <c r="A11" s="23" t="s">
        <v>43</v>
      </c>
      <c r="B11" s="2">
        <v>0.41666666666666669</v>
      </c>
      <c r="C11">
        <f t="shared" si="0"/>
        <v>100</v>
      </c>
      <c r="D11" s="3">
        <f>'compressor readings'!N133</f>
        <v>40.197590086231379</v>
      </c>
      <c r="E11" s="9">
        <f>'compressor readings'!O133</f>
        <v>16.067043572611496</v>
      </c>
      <c r="F11" s="10">
        <f>'compressor readings'!P133</f>
        <v>21.98618011535617</v>
      </c>
      <c r="G11" s="11">
        <f>'compressor readings'!Q133</f>
        <v>21.749186225800951</v>
      </c>
    </row>
    <row r="12" spans="1:7" x14ac:dyDescent="0.3">
      <c r="A12" s="23" t="s">
        <v>44</v>
      </c>
      <c r="B12" s="2">
        <v>0.41666666666666669</v>
      </c>
      <c r="C12">
        <f t="shared" si="0"/>
        <v>100</v>
      </c>
      <c r="D12" s="3">
        <f>'compressor readings'!N134</f>
        <v>40.710390567427723</v>
      </c>
      <c r="E12" s="9">
        <f>'compressor readings'!O134</f>
        <v>17.061164333087888</v>
      </c>
      <c r="F12" s="10">
        <f>'compressor readings'!P134</f>
        <v>22.254974207811493</v>
      </c>
      <c r="G12" s="11">
        <f>'compressor readings'!Q134</f>
        <v>19.973470891672893</v>
      </c>
    </row>
    <row r="13" spans="1:7" x14ac:dyDescent="0.3">
      <c r="A13" s="23" t="s">
        <v>45</v>
      </c>
      <c r="B13" s="2">
        <v>0.41666666666666669</v>
      </c>
      <c r="C13">
        <f t="shared" si="0"/>
        <v>100</v>
      </c>
      <c r="D13" s="3">
        <f>'compressor readings'!N135</f>
        <v>41.361918776044455</v>
      </c>
      <c r="E13" s="9">
        <f>'compressor readings'!O135</f>
        <v>5.1730383320166524</v>
      </c>
      <c r="F13" s="10">
        <f>'compressor readings'!P135</f>
        <v>45.904841973203268</v>
      </c>
      <c r="G13" s="11">
        <f>'compressor readings'!Q135</f>
        <v>7.5602009187356281</v>
      </c>
    </row>
    <row r="14" spans="1:7" x14ac:dyDescent="0.3">
      <c r="A14" s="24" t="s">
        <v>47</v>
      </c>
      <c r="B14" s="4"/>
      <c r="C14">
        <f t="shared" si="0"/>
        <v>0</v>
      </c>
      <c r="D14" s="3">
        <f>'compressor readings'!N136</f>
        <v>0</v>
      </c>
      <c r="E14" s="9">
        <f>'compressor readings'!O136</f>
        <v>0</v>
      </c>
      <c r="F14" s="10">
        <f>'compressor readings'!P136</f>
        <v>0</v>
      </c>
      <c r="G14" s="11">
        <f>'compressor readings'!Q136</f>
        <v>0</v>
      </c>
    </row>
    <row r="15" spans="1:7" x14ac:dyDescent="0.3">
      <c r="A15" s="24" t="s">
        <v>48</v>
      </c>
      <c r="B15" s="4"/>
      <c r="C15">
        <f t="shared" si="0"/>
        <v>0</v>
      </c>
      <c r="D15" s="3">
        <f>'compressor readings'!N137</f>
        <v>0</v>
      </c>
      <c r="E15" s="9">
        <f>'compressor readings'!O137</f>
        <v>0</v>
      </c>
      <c r="F15" s="10">
        <f>'compressor readings'!P137</f>
        <v>0</v>
      </c>
      <c r="G15" s="11">
        <f>'compressor readings'!Q137</f>
        <v>0</v>
      </c>
    </row>
    <row r="16" spans="1:7" x14ac:dyDescent="0.3">
      <c r="A16" s="23" t="s">
        <v>46</v>
      </c>
      <c r="B16" s="2" t="s">
        <v>49</v>
      </c>
      <c r="C16">
        <f t="shared" si="0"/>
        <v>100</v>
      </c>
      <c r="D16" s="3">
        <f>'compressor readings'!N138</f>
        <v>45.783600536761021</v>
      </c>
      <c r="E16" s="9">
        <f>'compressor readings'!O138</f>
        <v>21.56931986722234</v>
      </c>
      <c r="F16" s="10">
        <f>'compressor readings'!P138</f>
        <v>32.629422981848968</v>
      </c>
      <c r="G16" s="11">
        <f>'compressor readings'!Q138</f>
        <v>1.765661416766719E-2</v>
      </c>
    </row>
    <row r="17" spans="1:7" x14ac:dyDescent="0.3">
      <c r="A17" s="23" t="s">
        <v>51</v>
      </c>
      <c r="B17" s="2" t="s">
        <v>49</v>
      </c>
      <c r="C17">
        <f t="shared" si="0"/>
        <v>100</v>
      </c>
      <c r="D17" s="3">
        <f>'compressor readings'!N139</f>
        <v>45.927849139108353</v>
      </c>
      <c r="E17" s="9">
        <f>'compressor readings'!O139</f>
        <v>22.062038808417942</v>
      </c>
      <c r="F17" s="10">
        <f>'compressor readings'!P139</f>
        <v>32.010112052473701</v>
      </c>
      <c r="G17" s="11">
        <f>'compressor readings'!Q139</f>
        <v>0</v>
      </c>
    </row>
    <row r="18" spans="1:7" x14ac:dyDescent="0.3">
      <c r="A18" s="23" t="s">
        <v>52</v>
      </c>
      <c r="B18" s="2" t="s">
        <v>49</v>
      </c>
      <c r="C18">
        <f t="shared" si="0"/>
        <v>99.999999999999986</v>
      </c>
      <c r="D18" s="3">
        <f>'compressor readings'!N140</f>
        <v>43.449343123374923</v>
      </c>
      <c r="E18" s="9">
        <f>'compressor readings'!O140</f>
        <v>21.602844819070526</v>
      </c>
      <c r="F18" s="10">
        <f>'compressor readings'!P140</f>
        <v>29.600605841098076</v>
      </c>
      <c r="G18" s="11">
        <f>'compressor readings'!Q140</f>
        <v>5.3472062164564749</v>
      </c>
    </row>
    <row r="19" spans="1:7" x14ac:dyDescent="0.3">
      <c r="A19" s="23" t="s">
        <v>53</v>
      </c>
      <c r="B19" s="2" t="s">
        <v>49</v>
      </c>
      <c r="C19">
        <f t="shared" si="0"/>
        <v>100</v>
      </c>
      <c r="D19" s="3">
        <f>'compressor readings'!N141</f>
        <v>46.057112032635025</v>
      </c>
      <c r="E19" s="9">
        <f>'compressor readings'!O141</f>
        <v>21.863726779272614</v>
      </c>
      <c r="F19" s="10">
        <f>'compressor readings'!P141</f>
        <v>31.388017936010499</v>
      </c>
      <c r="G19" s="11">
        <f>'compressor readings'!Q141</f>
        <v>0.69114325208186378</v>
      </c>
    </row>
    <row r="20" spans="1:7" x14ac:dyDescent="0.3">
      <c r="A20" s="23" t="s">
        <v>54</v>
      </c>
      <c r="B20" s="2" t="s">
        <v>49</v>
      </c>
      <c r="C20">
        <f t="shared" si="0"/>
        <v>99.999999999999986</v>
      </c>
      <c r="D20" s="3">
        <f>'compressor readings'!N142</f>
        <v>41.394304322122402</v>
      </c>
      <c r="E20" s="9">
        <f>'compressor readings'!O142</f>
        <v>5.6192564373366265</v>
      </c>
      <c r="F20" s="10">
        <f>'compressor readings'!P142</f>
        <v>45.380710898897995</v>
      </c>
      <c r="G20" s="11">
        <f>'compressor readings'!Q142</f>
        <v>7.6057283416429753</v>
      </c>
    </row>
    <row r="21" spans="1:7" x14ac:dyDescent="0.3">
      <c r="A21" s="24" t="s">
        <v>56</v>
      </c>
      <c r="B21" s="4"/>
      <c r="C21">
        <f t="shared" si="0"/>
        <v>0</v>
      </c>
      <c r="D21" s="3">
        <f>'compressor readings'!N143</f>
        <v>0</v>
      </c>
      <c r="E21" s="9">
        <f>'compressor readings'!O143</f>
        <v>0</v>
      </c>
      <c r="F21" s="10">
        <f>'compressor readings'!P143</f>
        <v>0</v>
      </c>
      <c r="G21" s="11">
        <f>'compressor readings'!Q143</f>
        <v>0</v>
      </c>
    </row>
    <row r="22" spans="1:7" x14ac:dyDescent="0.3">
      <c r="A22" s="24" t="s">
        <v>57</v>
      </c>
      <c r="B22" s="4"/>
      <c r="C22">
        <f t="shared" si="0"/>
        <v>0</v>
      </c>
      <c r="D22" s="3">
        <f>'compressor readings'!N144</f>
        <v>0</v>
      </c>
      <c r="E22" s="9">
        <f>'compressor readings'!O144</f>
        <v>0</v>
      </c>
      <c r="F22" s="10">
        <f>'compressor readings'!P144</f>
        <v>0</v>
      </c>
      <c r="G22" s="11">
        <f>'compressor readings'!Q144</f>
        <v>0</v>
      </c>
    </row>
    <row r="23" spans="1:7" x14ac:dyDescent="0.3">
      <c r="A23" s="23" t="s">
        <v>58</v>
      </c>
      <c r="B23" s="2" t="s">
        <v>49</v>
      </c>
      <c r="C23">
        <f t="shared" si="0"/>
        <v>100</v>
      </c>
      <c r="D23" s="3">
        <f>'compressor readings'!N145</f>
        <v>41.418716445455225</v>
      </c>
      <c r="E23" s="9">
        <f>'compressor readings'!O145</f>
        <v>5.7488809326299313</v>
      </c>
      <c r="F23" s="10">
        <f>'compressor readings'!P145</f>
        <v>45.275916225486547</v>
      </c>
      <c r="G23" s="11">
        <f>'compressor readings'!Q145</f>
        <v>7.5564863964283049</v>
      </c>
    </row>
    <row r="31" spans="1:7" x14ac:dyDescent="0.3">
      <c r="B31" s="2" t="s">
        <v>1</v>
      </c>
    </row>
    <row r="32" spans="1:7" x14ac:dyDescent="0.3">
      <c r="A32" s="23" t="str">
        <f>A2</f>
        <v>01.06.2026</v>
      </c>
      <c r="B32" s="2">
        <f>B2</f>
        <v>0.41666666666666669</v>
      </c>
    </row>
    <row r="33" spans="1:2" x14ac:dyDescent="0.3">
      <c r="A33" s="23" t="str">
        <f>A3</f>
        <v>02.06.2026</v>
      </c>
      <c r="B33" s="2">
        <f>B3</f>
        <v>0.41666666666666669</v>
      </c>
    </row>
    <row r="34" spans="1:2" x14ac:dyDescent="0.3">
      <c r="A34" s="23" t="s">
        <v>35</v>
      </c>
      <c r="B34" s="2" t="s">
        <v>36</v>
      </c>
    </row>
    <row r="35" spans="1:2" x14ac:dyDescent="0.3">
      <c r="A35" s="23" t="s">
        <v>37</v>
      </c>
      <c r="B35" s="2" t="s">
        <v>36</v>
      </c>
    </row>
    <row r="36" spans="1:2" x14ac:dyDescent="0.3">
      <c r="A36" s="23" t="str">
        <f>A6</f>
        <v>05.06.2026</v>
      </c>
      <c r="B36" s="2" t="s">
        <v>36</v>
      </c>
    </row>
    <row r="37" spans="1:2" x14ac:dyDescent="0.3">
      <c r="A37" s="24" t="str">
        <f t="shared" ref="A37:A49" si="1">A7</f>
        <v>06.06.2026</v>
      </c>
      <c r="B37" s="4" t="s">
        <v>36</v>
      </c>
    </row>
    <row r="38" spans="1:2" x14ac:dyDescent="0.3">
      <c r="A38" s="24" t="str">
        <f t="shared" si="1"/>
        <v>07.06.2026</v>
      </c>
      <c r="B38" s="4" t="s">
        <v>36</v>
      </c>
    </row>
    <row r="39" spans="1:2" x14ac:dyDescent="0.3">
      <c r="A39" s="23" t="str">
        <f t="shared" si="1"/>
        <v>08.06.2026</v>
      </c>
      <c r="B39" s="2" t="s">
        <v>36</v>
      </c>
    </row>
    <row r="40" spans="1:2" x14ac:dyDescent="0.3">
      <c r="A40" s="23" t="str">
        <f t="shared" si="1"/>
        <v>09.06.2026</v>
      </c>
      <c r="B40" s="2" t="s">
        <v>36</v>
      </c>
    </row>
    <row r="41" spans="1:2" x14ac:dyDescent="0.3">
      <c r="A41" s="23" t="str">
        <f t="shared" si="1"/>
        <v>10.06.2026</v>
      </c>
      <c r="B41" s="2" t="s">
        <v>36</v>
      </c>
    </row>
    <row r="42" spans="1:2" x14ac:dyDescent="0.3">
      <c r="A42" s="23" t="str">
        <f t="shared" si="1"/>
        <v>11.06.2026</v>
      </c>
      <c r="B42" s="2" t="s">
        <v>36</v>
      </c>
    </row>
    <row r="43" spans="1:2" x14ac:dyDescent="0.3">
      <c r="A43" s="23" t="str">
        <f t="shared" si="1"/>
        <v>12.06.2026</v>
      </c>
      <c r="B43" s="2" t="s">
        <v>36</v>
      </c>
    </row>
    <row r="44" spans="1:2" x14ac:dyDescent="0.3">
      <c r="A44" s="25" t="str">
        <f t="shared" si="1"/>
        <v>13.06.2026</v>
      </c>
      <c r="B44" s="6"/>
    </row>
    <row r="45" spans="1:2" x14ac:dyDescent="0.3">
      <c r="A45" s="25" t="str">
        <f t="shared" si="1"/>
        <v>14.06.2026</v>
      </c>
      <c r="B45" s="6"/>
    </row>
    <row r="46" spans="1:2" x14ac:dyDescent="0.3">
      <c r="A46" s="23" t="str">
        <f t="shared" si="1"/>
        <v>15.06.2026</v>
      </c>
      <c r="B46" s="2" t="s">
        <v>36</v>
      </c>
    </row>
    <row r="47" spans="1:2" x14ac:dyDescent="0.3">
      <c r="A47" s="23" t="str">
        <f t="shared" si="1"/>
        <v>16.06.2026</v>
      </c>
      <c r="B47" s="2" t="s">
        <v>36</v>
      </c>
    </row>
    <row r="48" spans="1:2" x14ac:dyDescent="0.3">
      <c r="A48" s="23" t="str">
        <f t="shared" si="1"/>
        <v>17.06.2026</v>
      </c>
      <c r="B48" s="2" t="s">
        <v>36</v>
      </c>
    </row>
    <row r="49" spans="1:2" x14ac:dyDescent="0.3">
      <c r="A49" s="23" t="str">
        <f t="shared" si="1"/>
        <v>18.06.2026</v>
      </c>
      <c r="B49" s="2" t="s">
        <v>55</v>
      </c>
    </row>
    <row r="50" spans="1:2" x14ac:dyDescent="0.3">
      <c r="A50" s="23" t="str">
        <f>A20</f>
        <v>19.06.2026</v>
      </c>
      <c r="B50" s="2" t="s">
        <v>55</v>
      </c>
    </row>
    <row r="51" spans="1:2" x14ac:dyDescent="0.3">
      <c r="A51" s="24" t="str">
        <f t="shared" ref="A51:A53" si="2">A21</f>
        <v>20.06.2026</v>
      </c>
      <c r="B51" s="4"/>
    </row>
    <row r="52" spans="1:2" x14ac:dyDescent="0.3">
      <c r="A52" s="24" t="str">
        <f t="shared" si="2"/>
        <v>21.06.2026</v>
      </c>
      <c r="B52" s="4"/>
    </row>
    <row r="53" spans="1:2" x14ac:dyDescent="0.3">
      <c r="A53" s="23" t="str">
        <f t="shared" si="2"/>
        <v>22.06.2026</v>
      </c>
      <c r="B53" s="2" t="s">
        <v>49</v>
      </c>
    </row>
    <row r="62" spans="1:2" x14ac:dyDescent="0.3">
      <c r="A62" s="23" t="s">
        <v>0</v>
      </c>
      <c r="B62" s="2" t="s">
        <v>1</v>
      </c>
    </row>
    <row r="63" spans="1:2" x14ac:dyDescent="0.3">
      <c r="A63" s="23" t="str">
        <f>A2</f>
        <v>01.06.2026</v>
      </c>
      <c r="B63" s="2">
        <f t="shared" ref="A63:B74" si="3">B2</f>
        <v>0.41666666666666669</v>
      </c>
    </row>
    <row r="64" spans="1:2" x14ac:dyDescent="0.3">
      <c r="A64" s="23" t="str">
        <f t="shared" si="3"/>
        <v>02.06.2026</v>
      </c>
      <c r="B64" s="2">
        <f t="shared" si="3"/>
        <v>0.41666666666666669</v>
      </c>
    </row>
    <row r="65" spans="1:2" x14ac:dyDescent="0.3">
      <c r="A65" s="23" t="str">
        <f t="shared" si="3"/>
        <v>03.06.2026</v>
      </c>
      <c r="B65" s="2">
        <f t="shared" si="3"/>
        <v>0.41666666666666669</v>
      </c>
    </row>
    <row r="66" spans="1:2" x14ac:dyDescent="0.3">
      <c r="A66" s="23" t="str">
        <f t="shared" si="3"/>
        <v>04.06.2026</v>
      </c>
      <c r="B66" s="2">
        <f t="shared" si="3"/>
        <v>0.41666666666666669</v>
      </c>
    </row>
    <row r="67" spans="1:2" x14ac:dyDescent="0.3">
      <c r="A67" s="23" t="str">
        <f t="shared" si="3"/>
        <v>05.06.2026</v>
      </c>
      <c r="B67" s="2">
        <f t="shared" si="3"/>
        <v>0.41666666666666669</v>
      </c>
    </row>
    <row r="68" spans="1:2" x14ac:dyDescent="0.3">
      <c r="A68" s="24" t="str">
        <f t="shared" si="3"/>
        <v>06.06.2026</v>
      </c>
      <c r="B68" s="4">
        <f t="shared" si="3"/>
        <v>0.41666666666666669</v>
      </c>
    </row>
    <row r="69" spans="1:2" x14ac:dyDescent="0.3">
      <c r="A69" s="24" t="str">
        <f t="shared" si="3"/>
        <v>07.06.2026</v>
      </c>
      <c r="B69" s="4">
        <f t="shared" si="3"/>
        <v>0.41666666666666669</v>
      </c>
    </row>
    <row r="70" spans="1:2" x14ac:dyDescent="0.3">
      <c r="A70" s="23" t="str">
        <f t="shared" si="3"/>
        <v>08.06.2026</v>
      </c>
      <c r="B70" s="2">
        <f t="shared" si="3"/>
        <v>0.41666666666666669</v>
      </c>
    </row>
    <row r="71" spans="1:2" x14ac:dyDescent="0.3">
      <c r="A71" s="23" t="str">
        <f t="shared" si="3"/>
        <v>09.06.2026</v>
      </c>
      <c r="B71" s="2">
        <f t="shared" si="3"/>
        <v>0.41666666666666669</v>
      </c>
    </row>
    <row r="72" spans="1:2" x14ac:dyDescent="0.3">
      <c r="A72" s="23" t="str">
        <f t="shared" si="3"/>
        <v>10.06.2026</v>
      </c>
      <c r="B72" s="2">
        <f t="shared" si="3"/>
        <v>0.41666666666666669</v>
      </c>
    </row>
    <row r="73" spans="1:2" x14ac:dyDescent="0.3">
      <c r="A73" s="23" t="str">
        <f t="shared" si="3"/>
        <v>11.06.2026</v>
      </c>
      <c r="B73" s="2">
        <f t="shared" si="3"/>
        <v>0.41666666666666669</v>
      </c>
    </row>
    <row r="74" spans="1:2" x14ac:dyDescent="0.3">
      <c r="A74" s="23" t="str">
        <f t="shared" si="3"/>
        <v>12.06.2026</v>
      </c>
      <c r="B74" s="2">
        <f t="shared" si="3"/>
        <v>0.41666666666666669</v>
      </c>
    </row>
    <row r="75" spans="1:2" x14ac:dyDescent="0.3">
      <c r="A75" s="25" t="s">
        <v>47</v>
      </c>
      <c r="B75" s="6" t="s">
        <v>49</v>
      </c>
    </row>
    <row r="76" spans="1:2" x14ac:dyDescent="0.3">
      <c r="A76" s="25" t="s">
        <v>48</v>
      </c>
      <c r="B76" s="6" t="s">
        <v>49</v>
      </c>
    </row>
    <row r="77" spans="1:2" x14ac:dyDescent="0.3">
      <c r="A77" s="23" t="s">
        <v>46</v>
      </c>
      <c r="B77" s="2" t="s">
        <v>49</v>
      </c>
    </row>
    <row r="78" spans="1:2" x14ac:dyDescent="0.3">
      <c r="A78" s="23" t="s">
        <v>51</v>
      </c>
      <c r="B78" s="2" t="s">
        <v>49</v>
      </c>
    </row>
    <row r="79" spans="1:2" x14ac:dyDescent="0.3">
      <c r="A79" s="23" t="s">
        <v>52</v>
      </c>
      <c r="B79" s="2" t="s">
        <v>49</v>
      </c>
    </row>
    <row r="80" spans="1:2" x14ac:dyDescent="0.3">
      <c r="A80" s="23" t="s">
        <v>53</v>
      </c>
      <c r="B80" s="2" t="s">
        <v>49</v>
      </c>
    </row>
    <row r="81" spans="1:2" x14ac:dyDescent="0.3">
      <c r="A81" s="23" t="s">
        <v>54</v>
      </c>
      <c r="B81" s="2" t="s">
        <v>49</v>
      </c>
    </row>
    <row r="82" spans="1:2" x14ac:dyDescent="0.3">
      <c r="A82" s="24" t="s">
        <v>56</v>
      </c>
      <c r="B82" s="2" t="s">
        <v>49</v>
      </c>
    </row>
    <row r="83" spans="1:2" x14ac:dyDescent="0.3">
      <c r="A83" s="24" t="s">
        <v>57</v>
      </c>
      <c r="B83" s="2" t="s">
        <v>49</v>
      </c>
    </row>
    <row r="84" spans="1:2" x14ac:dyDescent="0.3">
      <c r="A84" s="23" t="s">
        <v>58</v>
      </c>
      <c r="B84" s="2" t="s">
        <v>49</v>
      </c>
    </row>
    <row r="93" spans="1:2" x14ac:dyDescent="0.3">
      <c r="A93" s="23" t="s">
        <v>0</v>
      </c>
      <c r="B93" s="2" t="s">
        <v>1</v>
      </c>
    </row>
    <row r="94" spans="1:2" x14ac:dyDescent="0.3">
      <c r="A94" s="23" t="str">
        <f t="shared" ref="A94:B105" si="4">A2</f>
        <v>01.06.2026</v>
      </c>
      <c r="B94" s="2">
        <f t="shared" si="4"/>
        <v>0.41666666666666669</v>
      </c>
    </row>
    <row r="95" spans="1:2" x14ac:dyDescent="0.3">
      <c r="A95" s="23" t="str">
        <f t="shared" si="4"/>
        <v>02.06.2026</v>
      </c>
      <c r="B95" s="2">
        <f t="shared" si="4"/>
        <v>0.41666666666666669</v>
      </c>
    </row>
    <row r="96" spans="1:2" x14ac:dyDescent="0.3">
      <c r="A96" s="23" t="str">
        <f t="shared" si="4"/>
        <v>03.06.2026</v>
      </c>
      <c r="B96" s="2">
        <f t="shared" si="4"/>
        <v>0.41666666666666669</v>
      </c>
    </row>
    <row r="97" spans="1:2" x14ac:dyDescent="0.3">
      <c r="A97" s="23" t="str">
        <f t="shared" si="4"/>
        <v>04.06.2026</v>
      </c>
      <c r="B97" s="2">
        <f t="shared" si="4"/>
        <v>0.41666666666666669</v>
      </c>
    </row>
    <row r="98" spans="1:2" x14ac:dyDescent="0.3">
      <c r="A98" s="23" t="str">
        <f t="shared" si="4"/>
        <v>05.06.2026</v>
      </c>
      <c r="B98" s="2">
        <f t="shared" si="4"/>
        <v>0.41666666666666669</v>
      </c>
    </row>
    <row r="99" spans="1:2" x14ac:dyDescent="0.3">
      <c r="A99" s="24" t="str">
        <f t="shared" si="4"/>
        <v>06.06.2026</v>
      </c>
      <c r="B99" s="4">
        <f t="shared" si="4"/>
        <v>0.41666666666666669</v>
      </c>
    </row>
    <row r="100" spans="1:2" x14ac:dyDescent="0.3">
      <c r="A100" s="24" t="str">
        <f t="shared" si="4"/>
        <v>07.06.2026</v>
      </c>
      <c r="B100" s="4">
        <f t="shared" si="4"/>
        <v>0.41666666666666669</v>
      </c>
    </row>
    <row r="101" spans="1:2" x14ac:dyDescent="0.3">
      <c r="A101" s="23" t="str">
        <f t="shared" si="4"/>
        <v>08.06.2026</v>
      </c>
      <c r="B101" s="2">
        <f t="shared" si="4"/>
        <v>0.41666666666666669</v>
      </c>
    </row>
    <row r="102" spans="1:2" x14ac:dyDescent="0.3">
      <c r="A102" s="23" t="str">
        <f t="shared" si="4"/>
        <v>09.06.2026</v>
      </c>
      <c r="B102" s="2">
        <f t="shared" si="4"/>
        <v>0.41666666666666669</v>
      </c>
    </row>
    <row r="103" spans="1:2" x14ac:dyDescent="0.3">
      <c r="A103" s="23" t="str">
        <f t="shared" si="4"/>
        <v>10.06.2026</v>
      </c>
      <c r="B103" s="2">
        <f t="shared" si="4"/>
        <v>0.41666666666666669</v>
      </c>
    </row>
    <row r="104" spans="1:2" x14ac:dyDescent="0.3">
      <c r="A104" s="23" t="str">
        <f t="shared" si="4"/>
        <v>11.06.2026</v>
      </c>
      <c r="B104" s="2">
        <f t="shared" si="4"/>
        <v>0.41666666666666669</v>
      </c>
    </row>
    <row r="105" spans="1:2" x14ac:dyDescent="0.3">
      <c r="A105" s="23" t="str">
        <f t="shared" si="4"/>
        <v>12.06.2026</v>
      </c>
      <c r="B105" s="2">
        <f t="shared" si="4"/>
        <v>0.41666666666666669</v>
      </c>
    </row>
    <row r="106" spans="1:2" x14ac:dyDescent="0.3">
      <c r="A106" s="25" t="str">
        <f>A14</f>
        <v>13.06.2026</v>
      </c>
      <c r="B106" s="6" t="s">
        <v>49</v>
      </c>
    </row>
    <row r="107" spans="1:2" x14ac:dyDescent="0.3">
      <c r="A107" s="25" t="str">
        <f>A15</f>
        <v>14.06.2026</v>
      </c>
      <c r="B107" s="6" t="s">
        <v>49</v>
      </c>
    </row>
    <row r="108" spans="1:2" x14ac:dyDescent="0.3">
      <c r="A108" s="23" t="s">
        <v>50</v>
      </c>
      <c r="B108" s="2" t="str">
        <f>B16</f>
        <v>10.00.00</v>
      </c>
    </row>
    <row r="109" spans="1:2" x14ac:dyDescent="0.3">
      <c r="A109" s="23" t="s">
        <v>51</v>
      </c>
      <c r="B109" s="2" t="s">
        <v>49</v>
      </c>
    </row>
    <row r="110" spans="1:2" x14ac:dyDescent="0.3">
      <c r="A110" s="23" t="s">
        <v>52</v>
      </c>
      <c r="B110" s="2" t="s">
        <v>49</v>
      </c>
    </row>
    <row r="111" spans="1:2" x14ac:dyDescent="0.3">
      <c r="A111" s="23" t="s">
        <v>53</v>
      </c>
      <c r="B111" s="2" t="s">
        <v>49</v>
      </c>
    </row>
    <row r="112" spans="1:2" x14ac:dyDescent="0.3">
      <c r="A112" s="23" t="s">
        <v>54</v>
      </c>
      <c r="B112" s="2" t="s">
        <v>49</v>
      </c>
    </row>
    <row r="113" spans="1:2" x14ac:dyDescent="0.3">
      <c r="A113" s="24" t="s">
        <v>56</v>
      </c>
      <c r="B113" s="4"/>
    </row>
    <row r="114" spans="1:2" x14ac:dyDescent="0.3">
      <c r="A114" s="24" t="s">
        <v>57</v>
      </c>
      <c r="B114" s="4"/>
    </row>
    <row r="115" spans="1:2" x14ac:dyDescent="0.3">
      <c r="A115" s="23" t="s">
        <v>58</v>
      </c>
      <c r="B115" s="2" t="s">
        <v>49</v>
      </c>
    </row>
    <row r="123" spans="1:2" x14ac:dyDescent="0.3">
      <c r="A123" s="23" t="s">
        <v>0</v>
      </c>
      <c r="B123" s="2" t="s">
        <v>1</v>
      </c>
    </row>
    <row r="124" spans="1:2" x14ac:dyDescent="0.3">
      <c r="A124" s="23" t="str">
        <f>A94</f>
        <v>01.06.2026</v>
      </c>
      <c r="B124" s="2">
        <f t="shared" ref="B124:B135" si="5">B2</f>
        <v>0.41666666666666669</v>
      </c>
    </row>
    <row r="125" spans="1:2" x14ac:dyDescent="0.3">
      <c r="A125" s="23" t="str">
        <f t="shared" ref="A125:B138" si="6">A3</f>
        <v>02.06.2026</v>
      </c>
      <c r="B125" s="2">
        <f t="shared" si="5"/>
        <v>0.41666666666666669</v>
      </c>
    </row>
    <row r="126" spans="1:2" x14ac:dyDescent="0.3">
      <c r="A126" s="23" t="str">
        <f t="shared" si="6"/>
        <v>03.06.2026</v>
      </c>
      <c r="B126" s="2">
        <f t="shared" si="5"/>
        <v>0.41666666666666669</v>
      </c>
    </row>
    <row r="127" spans="1:2" x14ac:dyDescent="0.3">
      <c r="A127" s="23" t="str">
        <f t="shared" si="6"/>
        <v>04.06.2026</v>
      </c>
      <c r="B127" s="2">
        <f t="shared" si="5"/>
        <v>0.41666666666666669</v>
      </c>
    </row>
    <row r="128" spans="1:2" x14ac:dyDescent="0.3">
      <c r="A128" s="23" t="str">
        <f t="shared" si="6"/>
        <v>05.06.2026</v>
      </c>
      <c r="B128" s="2">
        <f t="shared" si="5"/>
        <v>0.41666666666666669</v>
      </c>
    </row>
    <row r="129" spans="1:2" x14ac:dyDescent="0.3">
      <c r="A129" s="24" t="str">
        <f t="shared" si="6"/>
        <v>06.06.2026</v>
      </c>
      <c r="B129" s="4">
        <f t="shared" si="5"/>
        <v>0.41666666666666669</v>
      </c>
    </row>
    <row r="130" spans="1:2" x14ac:dyDescent="0.3">
      <c r="A130" s="24" t="str">
        <f t="shared" si="6"/>
        <v>07.06.2026</v>
      </c>
      <c r="B130" s="4">
        <f t="shared" si="5"/>
        <v>0.41666666666666669</v>
      </c>
    </row>
    <row r="131" spans="1:2" x14ac:dyDescent="0.3">
      <c r="A131" s="23" t="str">
        <f t="shared" si="6"/>
        <v>08.06.2026</v>
      </c>
      <c r="B131" s="2">
        <f t="shared" si="5"/>
        <v>0.41666666666666669</v>
      </c>
    </row>
    <row r="132" spans="1:2" x14ac:dyDescent="0.3">
      <c r="A132" s="23" t="str">
        <f t="shared" si="6"/>
        <v>09.06.2026</v>
      </c>
      <c r="B132" s="2">
        <f t="shared" si="5"/>
        <v>0.41666666666666669</v>
      </c>
    </row>
    <row r="133" spans="1:2" x14ac:dyDescent="0.3">
      <c r="A133" s="23" t="str">
        <f t="shared" si="6"/>
        <v>10.06.2026</v>
      </c>
      <c r="B133" s="2">
        <f t="shared" si="5"/>
        <v>0.41666666666666669</v>
      </c>
    </row>
    <row r="134" spans="1:2" x14ac:dyDescent="0.3">
      <c r="A134" s="23" t="str">
        <f t="shared" si="6"/>
        <v>11.06.2026</v>
      </c>
      <c r="B134" s="2">
        <f t="shared" si="5"/>
        <v>0.41666666666666669</v>
      </c>
    </row>
    <row r="135" spans="1:2" x14ac:dyDescent="0.3">
      <c r="A135" s="23" t="str">
        <f t="shared" si="6"/>
        <v>12.06.2026</v>
      </c>
      <c r="B135" s="2">
        <f t="shared" si="5"/>
        <v>0.41666666666666669</v>
      </c>
    </row>
    <row r="136" spans="1:2" x14ac:dyDescent="0.3">
      <c r="A136" s="25" t="str">
        <f t="shared" si="6"/>
        <v>13.06.2026</v>
      </c>
      <c r="B136" s="6" t="s">
        <v>49</v>
      </c>
    </row>
    <row r="137" spans="1:2" x14ac:dyDescent="0.3">
      <c r="A137" s="25" t="str">
        <f t="shared" si="6"/>
        <v>14.06.2026</v>
      </c>
      <c r="B137" s="6" t="s">
        <v>49</v>
      </c>
    </row>
    <row r="138" spans="1:2" x14ac:dyDescent="0.3">
      <c r="A138" s="23" t="str">
        <f t="shared" si="6"/>
        <v>15.06.2026</v>
      </c>
      <c r="B138" s="2" t="str">
        <f t="shared" si="6"/>
        <v>10.00.00</v>
      </c>
    </row>
    <row r="139" spans="1:2" x14ac:dyDescent="0.3">
      <c r="A139" s="23" t="s">
        <v>51</v>
      </c>
      <c r="B139" s="2" t="str">
        <f>B17</f>
        <v>10.00.00</v>
      </c>
    </row>
    <row r="140" spans="1:2" x14ac:dyDescent="0.3">
      <c r="A140" s="23" t="s">
        <v>52</v>
      </c>
      <c r="B140" s="2" t="str">
        <f t="shared" ref="B140:B142" si="7">B18</f>
        <v>10.00.00</v>
      </c>
    </row>
    <row r="141" spans="1:2" x14ac:dyDescent="0.3">
      <c r="A141" s="23" t="s">
        <v>53</v>
      </c>
      <c r="B141" s="2" t="str">
        <f t="shared" si="7"/>
        <v>10.00.00</v>
      </c>
    </row>
    <row r="142" spans="1:2" x14ac:dyDescent="0.3">
      <c r="A142" s="23" t="s">
        <v>54</v>
      </c>
      <c r="B142" s="2" t="str">
        <f t="shared" si="7"/>
        <v>10.00.00</v>
      </c>
    </row>
    <row r="143" spans="1:2" x14ac:dyDescent="0.3">
      <c r="A143" s="24" t="s">
        <v>56</v>
      </c>
      <c r="B143" s="4"/>
    </row>
    <row r="144" spans="1:2" x14ac:dyDescent="0.3">
      <c r="A144" s="24" t="s">
        <v>57</v>
      </c>
      <c r="B144" s="4"/>
    </row>
    <row r="145" spans="1:2" x14ac:dyDescent="0.3">
      <c r="A145" s="23" t="s">
        <v>60</v>
      </c>
      <c r="B145" s="2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3C012-1450-4644-8FBA-64E4792C3098}">
  <dimension ref="A1:U192"/>
  <sheetViews>
    <sheetView zoomScale="94" workbookViewId="0">
      <selection sqref="A1:U1"/>
    </sheetView>
  </sheetViews>
  <sheetFormatPr defaultRowHeight="14.4" x14ac:dyDescent="0.3"/>
  <cols>
    <col min="1" max="1" width="14.109375" style="23" customWidth="1"/>
    <col min="2" max="2" width="14.109375" style="2" customWidth="1"/>
    <col min="3" max="3" width="34.88671875" customWidth="1"/>
    <col min="4" max="4" width="28.6640625" customWidth="1"/>
    <col min="5" max="5" width="30.6640625" customWidth="1"/>
    <col min="6" max="6" width="25.44140625" customWidth="1"/>
    <col min="7" max="7" width="25.33203125" customWidth="1"/>
    <col min="8" max="8" width="18.77734375" customWidth="1"/>
    <col min="9" max="9" width="15.109375" customWidth="1"/>
    <col min="10" max="10" width="17.88671875" customWidth="1"/>
    <col min="11" max="11" width="15" customWidth="1"/>
    <col min="12" max="12" width="20.88671875" customWidth="1"/>
    <col min="13" max="13" width="13.6640625" customWidth="1"/>
    <col min="15" max="15" width="30.44140625" customWidth="1"/>
    <col min="16" max="16" width="19" style="12" customWidth="1"/>
    <col min="17" max="17" width="17.21875" style="3" customWidth="1"/>
    <col min="18" max="18" width="19.88671875" style="9" customWidth="1"/>
    <col min="19" max="19" width="21" style="15" customWidth="1"/>
    <col min="20" max="20" width="17.6640625" style="14" customWidth="1"/>
    <col min="21" max="21" width="14.21875" customWidth="1"/>
  </cols>
  <sheetData>
    <row r="1" spans="1:21" x14ac:dyDescent="0.3">
      <c r="A1" s="23" t="s">
        <v>0</v>
      </c>
      <c r="B1" s="2" t="s">
        <v>1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68</v>
      </c>
      <c r="K1" t="s">
        <v>86</v>
      </c>
      <c r="L1" t="s">
        <v>69</v>
      </c>
      <c r="M1" t="s">
        <v>70</v>
      </c>
      <c r="N1" t="s">
        <v>77</v>
      </c>
      <c r="O1" t="s">
        <v>78</v>
      </c>
      <c r="P1" s="12" t="s">
        <v>87</v>
      </c>
      <c r="Q1" s="3" t="s">
        <v>88</v>
      </c>
      <c r="R1" s="9" t="s">
        <v>89</v>
      </c>
      <c r="S1" s="15" t="s">
        <v>90</v>
      </c>
      <c r="T1" s="14" t="s">
        <v>91</v>
      </c>
      <c r="U1" t="s">
        <v>66</v>
      </c>
    </row>
    <row r="2" spans="1:21" x14ac:dyDescent="0.3">
      <c r="A2" s="23" t="s">
        <v>134</v>
      </c>
      <c r="B2" s="2">
        <v>0.41666666666666669</v>
      </c>
      <c r="C2">
        <v>6065070.3499999996</v>
      </c>
      <c r="D2">
        <v>4617859.8</v>
      </c>
      <c r="E2">
        <v>189789.43</v>
      </c>
      <c r="F2">
        <v>2870521.98</v>
      </c>
      <c r="G2">
        <v>6388.87</v>
      </c>
      <c r="H2">
        <v>7324.4</v>
      </c>
      <c r="I2">
        <f t="shared" ref="I2:N17" si="0">C3-C2</f>
        <v>8744.0900000007823</v>
      </c>
      <c r="J2">
        <f t="shared" si="0"/>
        <v>7324.3600000003353</v>
      </c>
      <c r="K2">
        <f t="shared" si="0"/>
        <v>2723.1900000000023</v>
      </c>
      <c r="L2">
        <f t="shared" si="0"/>
        <v>3269.9199999999255</v>
      </c>
      <c r="M2">
        <f t="shared" si="0"/>
        <v>0</v>
      </c>
      <c r="N2">
        <f t="shared" si="0"/>
        <v>7.4000000000005457</v>
      </c>
      <c r="O2">
        <f>J2+K2+L2+M2+N2</f>
        <v>13324.870000000265</v>
      </c>
      <c r="P2" s="12">
        <f>J2/O2*100</f>
        <v>54.967590678184393</v>
      </c>
      <c r="Q2" s="3">
        <f>K2/O2*100</f>
        <v>20.436897320573845</v>
      </c>
      <c r="R2" s="9">
        <f>L2/O2*100</f>
        <v>24.53997675024117</v>
      </c>
      <c r="S2" s="15">
        <f>M2/O2*100</f>
        <v>0</v>
      </c>
      <c r="T2" s="14">
        <f>N2/O2*100</f>
        <v>5.553525100057561E-2</v>
      </c>
      <c r="U2">
        <f>P2+Q2+R2+S2+T2</f>
        <v>99.999999999999986</v>
      </c>
    </row>
    <row r="3" spans="1:21" x14ac:dyDescent="0.3">
      <c r="A3" s="23" t="s">
        <v>133</v>
      </c>
      <c r="B3" s="2">
        <v>0.41666666666666669</v>
      </c>
      <c r="C3">
        <v>6073814.4400000004</v>
      </c>
      <c r="D3">
        <v>4625184.16</v>
      </c>
      <c r="E3">
        <v>192512.62</v>
      </c>
      <c r="F3">
        <v>2873791.9</v>
      </c>
      <c r="G3">
        <v>6388.87</v>
      </c>
      <c r="H3">
        <v>7331.8</v>
      </c>
      <c r="I3">
        <f t="shared" ref="I3:I25" si="1">C4-C3</f>
        <v>8538.2099999999627</v>
      </c>
      <c r="J3">
        <f t="shared" ref="J3:J25" si="2">D4-D3</f>
        <v>7455.8700000001118</v>
      </c>
      <c r="K3">
        <f t="shared" ref="K3:L25" si="3">E4-E3</f>
        <v>2485.5400000000081</v>
      </c>
      <c r="L3">
        <f t="shared" si="0"/>
        <v>3350.6400000001304</v>
      </c>
      <c r="M3">
        <f t="shared" ref="M3:N25" si="4">G4-G3</f>
        <v>0</v>
      </c>
      <c r="N3">
        <f t="shared" si="0"/>
        <v>7.6099999999996726</v>
      </c>
      <c r="O3">
        <f t="shared" ref="O3:O25" si="5">J3+K3+L3+M3+N3</f>
        <v>13299.660000000251</v>
      </c>
      <c r="P3" s="12">
        <f t="shared" ref="P3:P25" si="6">J3/O3*100</f>
        <v>56.060606060605842</v>
      </c>
      <c r="Q3" s="3">
        <f t="shared" ref="Q3:Q25" si="7">K3/O3*100</f>
        <v>18.688748434170208</v>
      </c>
      <c r="R3" s="9">
        <f t="shared" ref="R3:R25" si="8">L3/O3*100</f>
        <v>25.193425997356826</v>
      </c>
      <c r="S3" s="15">
        <f t="shared" ref="S3:S25" si="9">M3/O3*100</f>
        <v>0</v>
      </c>
      <c r="T3" s="14">
        <f t="shared" ref="T3:T25" si="10">N3/O3*100</f>
        <v>5.7219507867114862E-2</v>
      </c>
      <c r="U3">
        <f t="shared" ref="U3:U25" si="11">P3+Q3+R3+S3+T3</f>
        <v>99.999999999999986</v>
      </c>
    </row>
    <row r="4" spans="1:21" x14ac:dyDescent="0.3">
      <c r="A4" s="23" t="s">
        <v>34</v>
      </c>
      <c r="B4" s="2">
        <v>0.41666666666666669</v>
      </c>
      <c r="C4">
        <v>6082352.6500000004</v>
      </c>
      <c r="D4">
        <v>4632640.03</v>
      </c>
      <c r="E4">
        <v>194998.16</v>
      </c>
      <c r="F4">
        <v>2877142.54</v>
      </c>
      <c r="G4">
        <v>6388.87</v>
      </c>
      <c r="H4">
        <v>7339.41</v>
      </c>
      <c r="I4">
        <f t="shared" si="1"/>
        <v>-6082352.6500000004</v>
      </c>
      <c r="J4">
        <f t="shared" si="2"/>
        <v>-4632640.03</v>
      </c>
      <c r="K4">
        <f t="shared" si="3"/>
        <v>-194998.16</v>
      </c>
      <c r="L4">
        <f t="shared" si="0"/>
        <v>-2877142.54</v>
      </c>
      <c r="M4">
        <f t="shared" si="4"/>
        <v>-6388.87</v>
      </c>
      <c r="N4">
        <f t="shared" si="0"/>
        <v>-7339.41</v>
      </c>
      <c r="O4">
        <f t="shared" si="5"/>
        <v>-7718509.0100000007</v>
      </c>
      <c r="P4" s="12">
        <f t="shared" si="6"/>
        <v>60.019882389176601</v>
      </c>
      <c r="Q4" s="3">
        <f t="shared" si="7"/>
        <v>2.5263708281918555</v>
      </c>
      <c r="R4" s="9">
        <f t="shared" si="8"/>
        <v>37.275884970431612</v>
      </c>
      <c r="S4" s="15">
        <f t="shared" si="9"/>
        <v>8.277336972364302E-2</v>
      </c>
      <c r="T4" s="14">
        <f t="shared" si="10"/>
        <v>9.5088442476275598E-2</v>
      </c>
      <c r="U4">
        <f t="shared" si="11"/>
        <v>100</v>
      </c>
    </row>
    <row r="5" spans="1:21" x14ac:dyDescent="0.3">
      <c r="A5" s="23" t="s">
        <v>37</v>
      </c>
      <c r="B5" s="2">
        <v>0.41666666666666669</v>
      </c>
    </row>
    <row r="6" spans="1:21" x14ac:dyDescent="0.3">
      <c r="A6" s="23" t="s">
        <v>38</v>
      </c>
      <c r="B6" s="2">
        <v>0.41666666666666669</v>
      </c>
      <c r="C6">
        <v>6094945.7199999997</v>
      </c>
      <c r="D6">
        <v>4643837.75</v>
      </c>
      <c r="E6">
        <v>198134.98</v>
      </c>
      <c r="F6">
        <v>2881981.56</v>
      </c>
      <c r="G6">
        <v>6388.87</v>
      </c>
      <c r="H6">
        <v>7350.78</v>
      </c>
      <c r="I6">
        <f t="shared" si="1"/>
        <v>-6094945.7199999997</v>
      </c>
      <c r="J6">
        <f t="shared" si="2"/>
        <v>-4643837.75</v>
      </c>
      <c r="K6">
        <f t="shared" si="3"/>
        <v>-198134.98</v>
      </c>
      <c r="L6">
        <f t="shared" si="0"/>
        <v>-2881981.56</v>
      </c>
      <c r="M6">
        <f t="shared" si="4"/>
        <v>-6388.87</v>
      </c>
      <c r="N6">
        <f t="shared" si="0"/>
        <v>-7350.78</v>
      </c>
      <c r="O6">
        <f t="shared" si="5"/>
        <v>-7737693.9400000013</v>
      </c>
      <c r="P6" s="12">
        <f t="shared" si="6"/>
        <v>60.015784883835806</v>
      </c>
      <c r="Q6" s="3">
        <f t="shared" si="7"/>
        <v>2.5606463829713064</v>
      </c>
      <c r="R6" s="9">
        <f t="shared" si="8"/>
        <v>37.246000970671631</v>
      </c>
      <c r="S6" s="15">
        <f t="shared" si="9"/>
        <v>8.2568140450383326E-2</v>
      </c>
      <c r="T6" s="14">
        <f t="shared" si="10"/>
        <v>9.4999622070862086E-2</v>
      </c>
      <c r="U6">
        <f t="shared" si="11"/>
        <v>99.999999999999986</v>
      </c>
    </row>
    <row r="7" spans="1:21" x14ac:dyDescent="0.3">
      <c r="A7" s="24" t="s">
        <v>39</v>
      </c>
      <c r="B7" s="4">
        <v>0.41666666666666669</v>
      </c>
    </row>
    <row r="8" spans="1:21" x14ac:dyDescent="0.3">
      <c r="A8" s="24" t="s">
        <v>40</v>
      </c>
      <c r="B8" s="4">
        <v>0.41666666666666669</v>
      </c>
      <c r="C8">
        <v>6111593.9699999997</v>
      </c>
      <c r="D8">
        <v>46600072.469999999</v>
      </c>
      <c r="E8">
        <v>201563.89</v>
      </c>
      <c r="F8">
        <v>2888651.76</v>
      </c>
      <c r="G8">
        <v>6388.87</v>
      </c>
      <c r="H8">
        <v>7367.36</v>
      </c>
      <c r="I8">
        <f t="shared" si="1"/>
        <v>7383.3600000003353</v>
      </c>
      <c r="J8">
        <f t="shared" si="2"/>
        <v>-41939999.839999996</v>
      </c>
      <c r="K8">
        <f t="shared" si="3"/>
        <v>0</v>
      </c>
      <c r="L8">
        <f t="shared" si="0"/>
        <v>-2600000</v>
      </c>
      <c r="M8">
        <f t="shared" si="4"/>
        <v>0</v>
      </c>
      <c r="N8">
        <f t="shared" si="0"/>
        <v>0</v>
      </c>
      <c r="O8">
        <f t="shared" si="5"/>
        <v>-44539999.839999996</v>
      </c>
      <c r="P8" s="12">
        <f t="shared" si="6"/>
        <v>94.162550495420021</v>
      </c>
      <c r="Q8" s="3">
        <f t="shared" si="7"/>
        <v>0</v>
      </c>
      <c r="R8" s="9">
        <f t="shared" si="8"/>
        <v>5.8374495045799719</v>
      </c>
      <c r="S8" s="15">
        <f t="shared" si="9"/>
        <v>0</v>
      </c>
      <c r="T8" s="14">
        <f t="shared" si="10"/>
        <v>0</v>
      </c>
      <c r="U8">
        <f t="shared" si="11"/>
        <v>100</v>
      </c>
    </row>
    <row r="9" spans="1:21" x14ac:dyDescent="0.3">
      <c r="A9" s="23" t="s">
        <v>41</v>
      </c>
      <c r="B9" s="2">
        <v>0.41666666666666669</v>
      </c>
      <c r="C9">
        <v>6118977.3300000001</v>
      </c>
      <c r="D9">
        <v>4660072.63</v>
      </c>
      <c r="E9">
        <v>201563.89</v>
      </c>
      <c r="F9">
        <v>288651.76</v>
      </c>
      <c r="G9">
        <v>6388.87</v>
      </c>
      <c r="H9">
        <v>7367.36</v>
      </c>
      <c r="I9">
        <f t="shared" si="1"/>
        <v>7558.0599999995902</v>
      </c>
      <c r="J9">
        <f t="shared" si="2"/>
        <v>14778.230000000447</v>
      </c>
      <c r="K9">
        <f t="shared" si="3"/>
        <v>2795.789999999979</v>
      </c>
      <c r="L9">
        <f t="shared" si="0"/>
        <v>2606223.2999999998</v>
      </c>
      <c r="M9">
        <f t="shared" si="4"/>
        <v>0</v>
      </c>
      <c r="N9">
        <f t="shared" si="0"/>
        <v>15.039999999999964</v>
      </c>
      <c r="O9">
        <f t="shared" si="5"/>
        <v>2623812.3600000003</v>
      </c>
      <c r="P9" s="12">
        <f t="shared" si="6"/>
        <v>0.56323501730895287</v>
      </c>
      <c r="Q9" s="3">
        <f t="shared" si="7"/>
        <v>0.10655449462094836</v>
      </c>
      <c r="R9" s="9">
        <f t="shared" si="8"/>
        <v>99.329637276348507</v>
      </c>
      <c r="S9" s="15">
        <f t="shared" si="9"/>
        <v>0</v>
      </c>
      <c r="T9" s="14">
        <f t="shared" si="10"/>
        <v>5.7321172158819936E-4</v>
      </c>
      <c r="U9">
        <f t="shared" si="11"/>
        <v>100</v>
      </c>
    </row>
    <row r="10" spans="1:21" x14ac:dyDescent="0.3">
      <c r="A10" s="23" t="s">
        <v>42</v>
      </c>
      <c r="B10" s="2">
        <v>0.41666666666666669</v>
      </c>
      <c r="C10">
        <v>6126535.3899999997</v>
      </c>
      <c r="D10">
        <v>4674850.8600000003</v>
      </c>
      <c r="E10">
        <v>204359.67999999999</v>
      </c>
      <c r="F10">
        <v>2894875.06</v>
      </c>
      <c r="G10">
        <v>6388.87</v>
      </c>
      <c r="H10">
        <v>7382.4</v>
      </c>
      <c r="I10">
        <f t="shared" si="1"/>
        <v>8000.4599999999627</v>
      </c>
      <c r="J10">
        <f t="shared" si="2"/>
        <v>7869.7299999995157</v>
      </c>
      <c r="K10">
        <f t="shared" si="3"/>
        <v>1574.6499999999942</v>
      </c>
      <c r="L10">
        <f t="shared" si="0"/>
        <v>3149.8700000001118</v>
      </c>
      <c r="M10">
        <f t="shared" si="4"/>
        <v>0</v>
      </c>
      <c r="N10">
        <f t="shared" si="0"/>
        <v>8.0300000000006548</v>
      </c>
      <c r="O10">
        <f t="shared" si="5"/>
        <v>12602.279999999622</v>
      </c>
      <c r="P10" s="12">
        <f t="shared" si="6"/>
        <v>62.446874692513987</v>
      </c>
      <c r="Q10" s="3">
        <f t="shared" si="7"/>
        <v>12.494961229238212</v>
      </c>
      <c r="R10" s="9">
        <f t="shared" si="8"/>
        <v>24.994445449555208</v>
      </c>
      <c r="S10" s="15">
        <f t="shared" si="9"/>
        <v>0</v>
      </c>
      <c r="T10" s="14">
        <f t="shared" si="10"/>
        <v>6.3718628692592899E-2</v>
      </c>
      <c r="U10">
        <f t="shared" si="11"/>
        <v>100.00000000000001</v>
      </c>
    </row>
    <row r="11" spans="1:21" x14ac:dyDescent="0.3">
      <c r="A11" s="23" t="s">
        <v>43</v>
      </c>
      <c r="B11" s="2">
        <v>0.41666666666666669</v>
      </c>
      <c r="C11">
        <v>6134535.8499999996</v>
      </c>
      <c r="D11">
        <v>4682720.59</v>
      </c>
      <c r="E11">
        <v>205934.33</v>
      </c>
      <c r="F11">
        <v>2898024.93</v>
      </c>
      <c r="G11">
        <v>6388.87</v>
      </c>
      <c r="H11">
        <v>7390.43</v>
      </c>
      <c r="I11">
        <f t="shared" si="1"/>
        <v>7325.9900000002235</v>
      </c>
      <c r="J11">
        <f t="shared" si="2"/>
        <v>7281.3100000005215</v>
      </c>
      <c r="K11">
        <f t="shared" si="3"/>
        <v>1334.6300000000047</v>
      </c>
      <c r="L11">
        <f t="shared" si="0"/>
        <v>3169.8799999998882</v>
      </c>
      <c r="M11">
        <f t="shared" si="4"/>
        <v>0</v>
      </c>
      <c r="N11">
        <f t="shared" si="0"/>
        <v>7.4299999999993815</v>
      </c>
      <c r="O11">
        <f t="shared" si="5"/>
        <v>11793.250000000415</v>
      </c>
      <c r="P11" s="12">
        <f t="shared" si="6"/>
        <v>61.741335085750457</v>
      </c>
      <c r="Q11" s="3">
        <f t="shared" si="7"/>
        <v>11.316897377736906</v>
      </c>
      <c r="R11" s="9">
        <f t="shared" si="8"/>
        <v>26.878765395457371</v>
      </c>
      <c r="S11" s="15">
        <f t="shared" si="9"/>
        <v>0</v>
      </c>
      <c r="T11" s="14">
        <f t="shared" si="10"/>
        <v>6.3002141055257199E-2</v>
      </c>
      <c r="U11">
        <f t="shared" si="11"/>
        <v>99.999999999999972</v>
      </c>
    </row>
    <row r="12" spans="1:21" x14ac:dyDescent="0.3">
      <c r="A12" s="23" t="s">
        <v>44</v>
      </c>
      <c r="B12" s="2">
        <v>0.41666666666666669</v>
      </c>
      <c r="C12">
        <v>6141861.8399999999</v>
      </c>
      <c r="D12">
        <v>4690001.9000000004</v>
      </c>
      <c r="E12">
        <v>207268.96</v>
      </c>
      <c r="F12">
        <v>2901194.81</v>
      </c>
      <c r="G12">
        <v>6388.87</v>
      </c>
      <c r="H12">
        <v>7397.86</v>
      </c>
      <c r="I12">
        <f t="shared" si="1"/>
        <v>-6141861.8399999999</v>
      </c>
      <c r="J12">
        <f t="shared" si="2"/>
        <v>-4690001.9000000004</v>
      </c>
      <c r="K12">
        <f t="shared" si="3"/>
        <v>-207268.96</v>
      </c>
      <c r="L12">
        <f t="shared" si="0"/>
        <v>-2901194.81</v>
      </c>
      <c r="M12">
        <f t="shared" si="4"/>
        <v>-6388.87</v>
      </c>
      <c r="N12">
        <f t="shared" si="0"/>
        <v>-7397.86</v>
      </c>
      <c r="O12">
        <f t="shared" si="5"/>
        <v>-7812252.4000000004</v>
      </c>
      <c r="P12" s="12">
        <f t="shared" si="6"/>
        <v>60.033926963240461</v>
      </c>
      <c r="Q12" s="3">
        <f t="shared" si="7"/>
        <v>2.6531267730161918</v>
      </c>
      <c r="R12" s="9">
        <f t="shared" si="8"/>
        <v>37.136470526733106</v>
      </c>
      <c r="S12" s="15">
        <f t="shared" si="9"/>
        <v>8.1780127841235631E-2</v>
      </c>
      <c r="T12" s="14">
        <f t="shared" si="10"/>
        <v>9.4695609169002271E-2</v>
      </c>
      <c r="U12">
        <f t="shared" si="11"/>
        <v>100.00000000000001</v>
      </c>
    </row>
    <row r="13" spans="1:21" x14ac:dyDescent="0.3">
      <c r="A13" s="23" t="s">
        <v>45</v>
      </c>
      <c r="B13" s="2">
        <v>0.41666666666666669</v>
      </c>
    </row>
    <row r="14" spans="1:21" x14ac:dyDescent="0.3">
      <c r="A14" s="24" t="s">
        <v>47</v>
      </c>
      <c r="B14" s="4"/>
      <c r="C14">
        <v>6158900.4500000002</v>
      </c>
      <c r="D14">
        <v>4706036.2</v>
      </c>
      <c r="E14">
        <v>211436.85</v>
      </c>
      <c r="F14">
        <v>2907734.73</v>
      </c>
      <c r="G14">
        <v>6388.87</v>
      </c>
      <c r="H14">
        <v>7414.27</v>
      </c>
      <c r="I14">
        <f t="shared" si="1"/>
        <v>7721.5300000002608</v>
      </c>
      <c r="J14">
        <f t="shared" si="2"/>
        <v>6567.8799999998882</v>
      </c>
      <c r="K14">
        <f t="shared" si="3"/>
        <v>1969.7699999999895</v>
      </c>
      <c r="L14">
        <f t="shared" si="0"/>
        <v>3198.6099999998696</v>
      </c>
      <c r="M14">
        <f t="shared" si="4"/>
        <v>0</v>
      </c>
      <c r="N14">
        <f t="shared" si="0"/>
        <v>6.7399999999997817</v>
      </c>
      <c r="O14">
        <f t="shared" si="5"/>
        <v>11742.999999999747</v>
      </c>
      <c r="P14" s="12">
        <f t="shared" si="6"/>
        <v>55.930171165801156</v>
      </c>
      <c r="Q14" s="3">
        <f t="shared" si="7"/>
        <v>16.773993017116855</v>
      </c>
      <c r="R14" s="9">
        <f t="shared" si="8"/>
        <v>27.238439921654926</v>
      </c>
      <c r="S14" s="15">
        <f t="shared" si="9"/>
        <v>0</v>
      </c>
      <c r="T14" s="14">
        <f t="shared" si="10"/>
        <v>5.7395895427062311E-2</v>
      </c>
      <c r="U14">
        <f t="shared" si="11"/>
        <v>100</v>
      </c>
    </row>
    <row r="15" spans="1:21" x14ac:dyDescent="0.3">
      <c r="A15" s="24" t="s">
        <v>48</v>
      </c>
      <c r="B15" s="4"/>
      <c r="C15">
        <v>6166621.9800000004</v>
      </c>
      <c r="D15">
        <v>4712604.08</v>
      </c>
      <c r="E15">
        <v>213406.62</v>
      </c>
      <c r="F15">
        <v>2910933.34</v>
      </c>
      <c r="G15">
        <v>6388.87</v>
      </c>
      <c r="H15">
        <v>7421.01</v>
      </c>
      <c r="I15">
        <f t="shared" si="1"/>
        <v>8211.8499999996275</v>
      </c>
      <c r="J15">
        <f t="shared" si="2"/>
        <v>7250.429999999702</v>
      </c>
      <c r="K15">
        <f t="shared" si="3"/>
        <v>2001.2900000000081</v>
      </c>
      <c r="L15">
        <f t="shared" si="0"/>
        <v>3315.6899999999441</v>
      </c>
      <c r="M15">
        <f t="shared" si="4"/>
        <v>0</v>
      </c>
      <c r="N15">
        <f t="shared" si="0"/>
        <v>7.4200000000000728</v>
      </c>
      <c r="O15">
        <f t="shared" si="5"/>
        <v>12574.829999999654</v>
      </c>
      <c r="P15" s="12">
        <f t="shared" si="6"/>
        <v>57.658274505499485</v>
      </c>
      <c r="Q15" s="3">
        <f t="shared" si="7"/>
        <v>15.915046167622648</v>
      </c>
      <c r="R15" s="9">
        <f t="shared" si="8"/>
        <v>26.367672564957424</v>
      </c>
      <c r="S15" s="15">
        <f t="shared" si="9"/>
        <v>0</v>
      </c>
      <c r="T15" s="14">
        <f t="shared" si="10"/>
        <v>5.9006761920441679E-2</v>
      </c>
      <c r="U15">
        <f t="shared" si="11"/>
        <v>100</v>
      </c>
    </row>
    <row r="16" spans="1:21" x14ac:dyDescent="0.3">
      <c r="A16" s="23" t="s">
        <v>46</v>
      </c>
      <c r="B16" s="2" t="s">
        <v>49</v>
      </c>
      <c r="C16">
        <v>6174833.8300000001</v>
      </c>
      <c r="D16">
        <v>4719854.51</v>
      </c>
      <c r="E16">
        <v>215407.91</v>
      </c>
      <c r="F16">
        <v>2914249.03</v>
      </c>
      <c r="G16">
        <v>6388.87</v>
      </c>
      <c r="H16">
        <v>7428.43</v>
      </c>
      <c r="I16">
        <f t="shared" si="1"/>
        <v>8013.5099999997765</v>
      </c>
      <c r="J16">
        <f t="shared" si="2"/>
        <v>6946.660000000149</v>
      </c>
      <c r="K16">
        <f t="shared" si="3"/>
        <v>2413.7099999999919</v>
      </c>
      <c r="L16">
        <f t="shared" si="0"/>
        <v>3225.3500000000931</v>
      </c>
      <c r="M16">
        <f t="shared" si="4"/>
        <v>0</v>
      </c>
      <c r="N16">
        <f t="shared" si="0"/>
        <v>7.0999999999994543</v>
      </c>
      <c r="O16">
        <f t="shared" si="5"/>
        <v>12592.820000000233</v>
      </c>
      <c r="P16" s="12">
        <f t="shared" si="6"/>
        <v>55.163656750434143</v>
      </c>
      <c r="Q16" s="3">
        <f t="shared" si="7"/>
        <v>19.167350919015337</v>
      </c>
      <c r="R16" s="9">
        <f t="shared" si="8"/>
        <v>25.612610995789929</v>
      </c>
      <c r="S16" s="15">
        <f t="shared" si="9"/>
        <v>0</v>
      </c>
      <c r="T16" s="14">
        <f t="shared" si="10"/>
        <v>5.6381334760596306E-2</v>
      </c>
      <c r="U16">
        <f t="shared" si="11"/>
        <v>100</v>
      </c>
    </row>
    <row r="17" spans="1:21" x14ac:dyDescent="0.3">
      <c r="A17" s="23" t="s">
        <v>51</v>
      </c>
      <c r="B17" s="2" t="s">
        <v>49</v>
      </c>
      <c r="C17">
        <v>6182847.3399999999</v>
      </c>
      <c r="D17">
        <v>4726801.17</v>
      </c>
      <c r="E17">
        <v>217821.62</v>
      </c>
      <c r="F17">
        <v>2917474.38</v>
      </c>
      <c r="G17">
        <v>6388.87</v>
      </c>
      <c r="H17">
        <v>7435.53</v>
      </c>
      <c r="I17">
        <f t="shared" si="1"/>
        <v>7610.1900000004098</v>
      </c>
      <c r="J17">
        <f t="shared" si="2"/>
        <v>6815.8600000003353</v>
      </c>
      <c r="K17">
        <f t="shared" si="3"/>
        <v>1670.070000000007</v>
      </c>
      <c r="L17">
        <f t="shared" si="0"/>
        <v>3419.1400000001304</v>
      </c>
      <c r="M17">
        <f t="shared" si="4"/>
        <v>0</v>
      </c>
      <c r="N17">
        <f t="shared" si="0"/>
        <v>6.9099999999998545</v>
      </c>
      <c r="O17">
        <f t="shared" si="5"/>
        <v>11911.980000000473</v>
      </c>
      <c r="P17" s="12">
        <f t="shared" si="6"/>
        <v>57.218531260126902</v>
      </c>
      <c r="Q17" s="3">
        <f t="shared" si="7"/>
        <v>14.020087340643123</v>
      </c>
      <c r="R17" s="9">
        <f t="shared" si="8"/>
        <v>28.703372571142623</v>
      </c>
      <c r="S17" s="15">
        <f t="shared" si="9"/>
        <v>0</v>
      </c>
      <c r="T17" s="14">
        <f t="shared" si="10"/>
        <v>5.8008828087350556E-2</v>
      </c>
      <c r="U17">
        <f t="shared" si="11"/>
        <v>100</v>
      </c>
    </row>
    <row r="18" spans="1:21" x14ac:dyDescent="0.3">
      <c r="A18" s="23" t="s">
        <v>52</v>
      </c>
      <c r="B18" s="2" t="s">
        <v>49</v>
      </c>
      <c r="C18">
        <v>6190457.5300000003</v>
      </c>
      <c r="D18">
        <v>4733617.03</v>
      </c>
      <c r="E18">
        <v>219491.69</v>
      </c>
      <c r="F18">
        <v>2920893.52</v>
      </c>
      <c r="G18">
        <v>6388.87</v>
      </c>
      <c r="H18">
        <v>7442.44</v>
      </c>
      <c r="I18">
        <f t="shared" si="1"/>
        <v>-6190457.5300000003</v>
      </c>
      <c r="J18">
        <f t="shared" si="2"/>
        <v>-4733617.03</v>
      </c>
      <c r="K18">
        <f t="shared" si="3"/>
        <v>-219491.69</v>
      </c>
      <c r="L18">
        <f t="shared" si="3"/>
        <v>-2920893.52</v>
      </c>
      <c r="M18">
        <f t="shared" si="4"/>
        <v>-6388.87</v>
      </c>
      <c r="N18">
        <f t="shared" si="4"/>
        <v>-7442.44</v>
      </c>
      <c r="O18">
        <f t="shared" si="5"/>
        <v>-7887833.5500000007</v>
      </c>
      <c r="P18" s="12">
        <f t="shared" si="6"/>
        <v>60.011624231091943</v>
      </c>
      <c r="Q18" s="3">
        <f t="shared" si="7"/>
        <v>2.7826612796615109</v>
      </c>
      <c r="R18" s="9">
        <f t="shared" si="8"/>
        <v>37.030364566960209</v>
      </c>
      <c r="S18" s="15">
        <f t="shared" si="9"/>
        <v>8.0996511393169546E-2</v>
      </c>
      <c r="T18" s="14">
        <f>N18/O18*100</f>
        <v>9.4353410893159614E-2</v>
      </c>
      <c r="U18">
        <f>P18+Q18+R18+S18+T18</f>
        <v>100</v>
      </c>
    </row>
    <row r="19" spans="1:21" x14ac:dyDescent="0.3">
      <c r="A19" s="23" t="s">
        <v>53</v>
      </c>
      <c r="B19" s="2" t="s">
        <v>49</v>
      </c>
    </row>
    <row r="20" spans="1:21" x14ac:dyDescent="0.3">
      <c r="A20" s="23" t="s">
        <v>54</v>
      </c>
      <c r="B20" s="2" t="s">
        <v>49</v>
      </c>
      <c r="C20">
        <v>6207011.7580000004</v>
      </c>
      <c r="D20">
        <v>4749077.72</v>
      </c>
      <c r="E20">
        <v>223190.87</v>
      </c>
      <c r="F20">
        <v>2928483.2</v>
      </c>
      <c r="G20">
        <v>6388.87</v>
      </c>
      <c r="H20">
        <v>7458.26</v>
      </c>
      <c r="I20">
        <f t="shared" si="1"/>
        <v>-6207011.7580000004</v>
      </c>
      <c r="J20">
        <f t="shared" si="2"/>
        <v>-4749077.72</v>
      </c>
      <c r="K20">
        <f t="shared" si="3"/>
        <v>-223190.87</v>
      </c>
      <c r="L20">
        <f t="shared" si="3"/>
        <v>-2928483.2</v>
      </c>
      <c r="M20">
        <f t="shared" si="4"/>
        <v>-6388.87</v>
      </c>
      <c r="N20">
        <f t="shared" si="4"/>
        <v>-7458.26</v>
      </c>
      <c r="O20">
        <f t="shared" si="5"/>
        <v>-7914598.9199999999</v>
      </c>
      <c r="P20" s="12">
        <f t="shared" si="6"/>
        <v>60.004022541170031</v>
      </c>
      <c r="Q20" s="3">
        <f t="shared" si="7"/>
        <v>2.8199896451606925</v>
      </c>
      <c r="R20" s="9">
        <f t="shared" si="8"/>
        <v>37.001031001075667</v>
      </c>
      <c r="S20" s="15">
        <f t="shared" si="9"/>
        <v>8.0722599648801907E-2</v>
      </c>
      <c r="T20" s="14">
        <f t="shared" si="10"/>
        <v>9.4234212944804538E-2</v>
      </c>
      <c r="U20">
        <f t="shared" si="11"/>
        <v>99.999999999999986</v>
      </c>
    </row>
    <row r="21" spans="1:21" x14ac:dyDescent="0.3">
      <c r="A21" s="24" t="s">
        <v>56</v>
      </c>
      <c r="B21" s="4"/>
      <c r="I21">
        <f t="shared" si="1"/>
        <v>0</v>
      </c>
      <c r="J21">
        <f t="shared" si="2"/>
        <v>0</v>
      </c>
      <c r="K21">
        <f t="shared" si="3"/>
        <v>0</v>
      </c>
      <c r="L21">
        <f t="shared" si="3"/>
        <v>0</v>
      </c>
      <c r="M21">
        <f t="shared" si="4"/>
        <v>0</v>
      </c>
      <c r="N21">
        <f t="shared" si="4"/>
        <v>0</v>
      </c>
      <c r="O21">
        <f t="shared" si="5"/>
        <v>0</v>
      </c>
      <c r="P21" s="12" t="e">
        <f t="shared" si="6"/>
        <v>#DIV/0!</v>
      </c>
      <c r="Q21" s="3" t="e">
        <f t="shared" si="7"/>
        <v>#DIV/0!</v>
      </c>
      <c r="R21" s="9" t="e">
        <f t="shared" si="8"/>
        <v>#DIV/0!</v>
      </c>
      <c r="S21" s="15" t="e">
        <f t="shared" si="9"/>
        <v>#DIV/0!</v>
      </c>
      <c r="T21" s="14" t="e">
        <f t="shared" si="10"/>
        <v>#DIV/0!</v>
      </c>
      <c r="U21" t="e">
        <f t="shared" si="11"/>
        <v>#DIV/0!</v>
      </c>
    </row>
    <row r="22" spans="1:21" x14ac:dyDescent="0.3">
      <c r="A22" s="24" t="s">
        <v>57</v>
      </c>
      <c r="B22" s="4"/>
      <c r="I22">
        <f t="shared" si="1"/>
        <v>0</v>
      </c>
      <c r="J22">
        <f t="shared" si="2"/>
        <v>0</v>
      </c>
      <c r="K22">
        <f t="shared" si="3"/>
        <v>0</v>
      </c>
      <c r="L22">
        <f t="shared" si="3"/>
        <v>0</v>
      </c>
      <c r="M22">
        <f t="shared" si="4"/>
        <v>0</v>
      </c>
      <c r="N22">
        <f t="shared" si="4"/>
        <v>0</v>
      </c>
      <c r="O22">
        <f t="shared" si="5"/>
        <v>0</v>
      </c>
      <c r="P22" s="12" t="e">
        <f t="shared" si="6"/>
        <v>#DIV/0!</v>
      </c>
      <c r="Q22" s="3" t="e">
        <f t="shared" si="7"/>
        <v>#DIV/0!</v>
      </c>
      <c r="R22" s="9" t="e">
        <f t="shared" si="8"/>
        <v>#DIV/0!</v>
      </c>
      <c r="S22" s="15" t="e">
        <f t="shared" si="9"/>
        <v>#DIV/0!</v>
      </c>
      <c r="T22" s="14" t="e">
        <f t="shared" si="10"/>
        <v>#DIV/0!</v>
      </c>
      <c r="U22" t="e">
        <f t="shared" si="11"/>
        <v>#DIV/0!</v>
      </c>
    </row>
    <row r="23" spans="1:21" x14ac:dyDescent="0.3">
      <c r="A23" s="23" t="s">
        <v>58</v>
      </c>
      <c r="B23" s="2" t="s">
        <v>49</v>
      </c>
      <c r="I23">
        <f t="shared" si="1"/>
        <v>0</v>
      </c>
      <c r="J23">
        <f t="shared" si="2"/>
        <v>0</v>
      </c>
      <c r="K23">
        <f t="shared" si="3"/>
        <v>0</v>
      </c>
      <c r="L23">
        <f t="shared" si="3"/>
        <v>0</v>
      </c>
      <c r="M23">
        <f t="shared" si="4"/>
        <v>0</v>
      </c>
      <c r="N23">
        <f t="shared" si="4"/>
        <v>0</v>
      </c>
      <c r="O23">
        <f t="shared" si="5"/>
        <v>0</v>
      </c>
      <c r="P23" s="12" t="e">
        <f t="shared" si="6"/>
        <v>#DIV/0!</v>
      </c>
      <c r="Q23" s="3" t="e">
        <f t="shared" si="7"/>
        <v>#DIV/0!</v>
      </c>
      <c r="R23" s="9" t="e">
        <f t="shared" si="8"/>
        <v>#DIV/0!</v>
      </c>
      <c r="S23" s="15" t="e">
        <f t="shared" si="9"/>
        <v>#DIV/0!</v>
      </c>
      <c r="T23" s="14" t="e">
        <f t="shared" si="10"/>
        <v>#DIV/0!</v>
      </c>
      <c r="U23" t="e">
        <f t="shared" si="11"/>
        <v>#DIV/0!</v>
      </c>
    </row>
    <row r="24" spans="1:21" x14ac:dyDescent="0.3">
      <c r="I24">
        <f t="shared" si="1"/>
        <v>0</v>
      </c>
      <c r="J24">
        <f t="shared" si="2"/>
        <v>0</v>
      </c>
      <c r="K24">
        <f t="shared" si="3"/>
        <v>0</v>
      </c>
      <c r="L24">
        <f t="shared" si="3"/>
        <v>0</v>
      </c>
      <c r="M24">
        <f t="shared" si="4"/>
        <v>0</v>
      </c>
      <c r="N24">
        <f t="shared" si="4"/>
        <v>0</v>
      </c>
      <c r="O24">
        <f t="shared" si="5"/>
        <v>0</v>
      </c>
      <c r="P24" s="12" t="e">
        <f t="shared" si="6"/>
        <v>#DIV/0!</v>
      </c>
      <c r="Q24" s="3" t="e">
        <f t="shared" si="7"/>
        <v>#DIV/0!</v>
      </c>
      <c r="R24" s="9" t="e">
        <f t="shared" si="8"/>
        <v>#DIV/0!</v>
      </c>
      <c r="S24" s="15" t="e">
        <f t="shared" si="9"/>
        <v>#DIV/0!</v>
      </c>
      <c r="T24" s="14" t="e">
        <f t="shared" si="10"/>
        <v>#DIV/0!</v>
      </c>
      <c r="U24" t="e">
        <f t="shared" si="11"/>
        <v>#DIV/0!</v>
      </c>
    </row>
    <row r="25" spans="1:21" x14ac:dyDescent="0.3">
      <c r="I25">
        <f t="shared" si="1"/>
        <v>0</v>
      </c>
      <c r="J25">
        <f t="shared" si="2"/>
        <v>0</v>
      </c>
      <c r="K25">
        <f t="shared" si="3"/>
        <v>0</v>
      </c>
      <c r="L25">
        <f t="shared" si="3"/>
        <v>0</v>
      </c>
      <c r="M25">
        <f t="shared" si="4"/>
        <v>0</v>
      </c>
      <c r="N25">
        <f t="shared" si="4"/>
        <v>0</v>
      </c>
      <c r="O25">
        <f t="shared" si="5"/>
        <v>0</v>
      </c>
      <c r="P25" s="12" t="e">
        <f t="shared" si="6"/>
        <v>#DIV/0!</v>
      </c>
      <c r="Q25" s="3" t="e">
        <f t="shared" si="7"/>
        <v>#DIV/0!</v>
      </c>
      <c r="R25" s="9" t="e">
        <f t="shared" si="8"/>
        <v>#DIV/0!</v>
      </c>
      <c r="S25" s="15" t="e">
        <f t="shared" si="9"/>
        <v>#DIV/0!</v>
      </c>
      <c r="T25" s="14" t="e">
        <f t="shared" si="10"/>
        <v>#DIV/0!</v>
      </c>
      <c r="U25" t="e">
        <f t="shared" si="11"/>
        <v>#DIV/0!</v>
      </c>
    </row>
    <row r="26" spans="1:21" x14ac:dyDescent="0.3">
      <c r="N26">
        <f t="shared" ref="N26:N28" si="12">H27-H26</f>
        <v>0</v>
      </c>
    </row>
    <row r="27" spans="1:21" x14ac:dyDescent="0.3">
      <c r="N27">
        <f t="shared" si="12"/>
        <v>0</v>
      </c>
    </row>
    <row r="28" spans="1:21" x14ac:dyDescent="0.3">
      <c r="B28" s="23"/>
      <c r="N28">
        <f t="shared" si="12"/>
        <v>0</v>
      </c>
    </row>
    <row r="29" spans="1:21" x14ac:dyDescent="0.3">
      <c r="B29" s="23"/>
    </row>
    <row r="30" spans="1:21" x14ac:dyDescent="0.3">
      <c r="B30" s="23"/>
    </row>
    <row r="31" spans="1:21" x14ac:dyDescent="0.3">
      <c r="B31" s="23"/>
    </row>
    <row r="32" spans="1:21" x14ac:dyDescent="0.3">
      <c r="B32" s="23"/>
    </row>
    <row r="33" spans="2:20" x14ac:dyDescent="0.3">
      <c r="B33" s="23"/>
      <c r="P33"/>
      <c r="Q33"/>
      <c r="R33"/>
      <c r="S33"/>
      <c r="T33"/>
    </row>
    <row r="34" spans="2:20" x14ac:dyDescent="0.3">
      <c r="B34" s="23"/>
      <c r="P34"/>
      <c r="Q34"/>
      <c r="R34"/>
      <c r="S34"/>
      <c r="T34"/>
    </row>
    <row r="35" spans="2:20" x14ac:dyDescent="0.3">
      <c r="B35" s="23"/>
      <c r="P35"/>
      <c r="Q35"/>
      <c r="R35"/>
      <c r="S35"/>
      <c r="T35"/>
    </row>
    <row r="36" spans="2:20" x14ac:dyDescent="0.3">
      <c r="B36" s="23"/>
      <c r="P36"/>
      <c r="Q36"/>
      <c r="R36"/>
      <c r="S36"/>
      <c r="T36"/>
    </row>
    <row r="37" spans="2:20" x14ac:dyDescent="0.3">
      <c r="B37" s="23"/>
      <c r="P37"/>
      <c r="Q37"/>
      <c r="R37"/>
      <c r="S37"/>
      <c r="T37"/>
    </row>
    <row r="38" spans="2:20" x14ac:dyDescent="0.3">
      <c r="B38" s="23"/>
      <c r="P38"/>
      <c r="Q38"/>
      <c r="R38"/>
      <c r="S38"/>
      <c r="T38"/>
    </row>
    <row r="39" spans="2:20" x14ac:dyDescent="0.3">
      <c r="B39" s="23"/>
      <c r="P39"/>
      <c r="Q39"/>
      <c r="R39"/>
      <c r="S39"/>
      <c r="T39"/>
    </row>
    <row r="40" spans="2:20" x14ac:dyDescent="0.3">
      <c r="B40" s="23"/>
      <c r="P40"/>
      <c r="Q40"/>
      <c r="R40"/>
      <c r="S40"/>
      <c r="T40"/>
    </row>
    <row r="41" spans="2:20" x14ac:dyDescent="0.3">
      <c r="B41" s="23"/>
      <c r="P41"/>
      <c r="Q41"/>
      <c r="R41"/>
      <c r="S41"/>
      <c r="T41"/>
    </row>
    <row r="42" spans="2:20" x14ac:dyDescent="0.3">
      <c r="B42" s="23"/>
      <c r="P42"/>
      <c r="Q42"/>
      <c r="R42"/>
      <c r="S42"/>
      <c r="T42"/>
    </row>
    <row r="43" spans="2:20" x14ac:dyDescent="0.3">
      <c r="B43" s="23"/>
      <c r="P43"/>
      <c r="Q43"/>
      <c r="R43"/>
      <c r="S43"/>
      <c r="T43"/>
    </row>
    <row r="44" spans="2:20" x14ac:dyDescent="0.3">
      <c r="B44" s="23"/>
      <c r="P44"/>
      <c r="Q44"/>
      <c r="R44"/>
      <c r="S44"/>
      <c r="T44"/>
    </row>
    <row r="45" spans="2:20" x14ac:dyDescent="0.3">
      <c r="B45" s="23"/>
      <c r="P45"/>
      <c r="Q45"/>
      <c r="R45"/>
      <c r="S45"/>
      <c r="T45"/>
    </row>
    <row r="46" spans="2:20" x14ac:dyDescent="0.3">
      <c r="B46" s="23"/>
      <c r="P46"/>
      <c r="Q46"/>
      <c r="R46"/>
      <c r="S46"/>
      <c r="T46"/>
    </row>
    <row r="47" spans="2:20" x14ac:dyDescent="0.3">
      <c r="B47" s="23"/>
      <c r="P47"/>
      <c r="Q47"/>
      <c r="R47"/>
      <c r="S47"/>
      <c r="T47"/>
    </row>
    <row r="48" spans="2:20" x14ac:dyDescent="0.3">
      <c r="B48" s="23"/>
      <c r="P48"/>
      <c r="Q48"/>
      <c r="R48"/>
      <c r="S48"/>
      <c r="T48"/>
    </row>
    <row r="49" spans="2:20" x14ac:dyDescent="0.3">
      <c r="B49" s="23"/>
      <c r="P49"/>
      <c r="Q49"/>
      <c r="R49"/>
      <c r="S49"/>
      <c r="T49"/>
    </row>
    <row r="50" spans="2:20" x14ac:dyDescent="0.3">
      <c r="B50" s="23"/>
      <c r="P50"/>
      <c r="Q50"/>
      <c r="R50"/>
      <c r="S50"/>
      <c r="T50"/>
    </row>
    <row r="51" spans="2:20" x14ac:dyDescent="0.3">
      <c r="B51" s="23"/>
      <c r="P51"/>
      <c r="Q51"/>
      <c r="R51"/>
      <c r="S51"/>
      <c r="T51"/>
    </row>
    <row r="52" spans="2:20" x14ac:dyDescent="0.3">
      <c r="B52" s="23"/>
      <c r="P52"/>
      <c r="Q52"/>
      <c r="R52"/>
      <c r="S52"/>
      <c r="T52"/>
    </row>
    <row r="53" spans="2:20" x14ac:dyDescent="0.3">
      <c r="B53" s="23"/>
      <c r="P53"/>
      <c r="Q53"/>
      <c r="R53"/>
      <c r="S53"/>
      <c r="T53"/>
    </row>
    <row r="54" spans="2:20" x14ac:dyDescent="0.3">
      <c r="B54" s="23"/>
      <c r="P54"/>
      <c r="Q54"/>
      <c r="R54"/>
      <c r="S54"/>
      <c r="T54"/>
    </row>
    <row r="55" spans="2:20" x14ac:dyDescent="0.3">
      <c r="B55" s="23"/>
      <c r="P55"/>
      <c r="Q55"/>
      <c r="R55"/>
      <c r="S55"/>
      <c r="T55"/>
    </row>
    <row r="56" spans="2:20" x14ac:dyDescent="0.3">
      <c r="B56" s="23"/>
      <c r="P56"/>
      <c r="Q56"/>
      <c r="R56"/>
      <c r="S56"/>
      <c r="T56"/>
    </row>
    <row r="57" spans="2:20" x14ac:dyDescent="0.3">
      <c r="B57" s="23"/>
      <c r="P57"/>
      <c r="Q57"/>
      <c r="R57"/>
      <c r="S57"/>
      <c r="T57"/>
    </row>
    <row r="58" spans="2:20" x14ac:dyDescent="0.3">
      <c r="B58" s="23"/>
      <c r="P58"/>
      <c r="Q58"/>
      <c r="R58"/>
      <c r="S58"/>
      <c r="T58"/>
    </row>
    <row r="59" spans="2:20" x14ac:dyDescent="0.3">
      <c r="B59" s="23"/>
      <c r="P59"/>
      <c r="Q59"/>
      <c r="R59"/>
      <c r="S59"/>
      <c r="T59"/>
    </row>
    <row r="60" spans="2:20" x14ac:dyDescent="0.3">
      <c r="B60" s="23"/>
      <c r="P60"/>
      <c r="Q60"/>
      <c r="R60"/>
      <c r="S60"/>
      <c r="T60"/>
    </row>
    <row r="61" spans="2:20" x14ac:dyDescent="0.3">
      <c r="B61" s="23"/>
      <c r="P61"/>
      <c r="Q61"/>
      <c r="R61"/>
      <c r="S61"/>
      <c r="T61"/>
    </row>
    <row r="62" spans="2:20" x14ac:dyDescent="0.3">
      <c r="B62" s="23"/>
      <c r="P62"/>
      <c r="Q62"/>
      <c r="R62"/>
      <c r="S62"/>
      <c r="T62"/>
    </row>
    <row r="63" spans="2:20" x14ac:dyDescent="0.3">
      <c r="B63" s="23"/>
      <c r="P63"/>
      <c r="Q63"/>
      <c r="R63"/>
      <c r="S63"/>
      <c r="T63"/>
    </row>
    <row r="64" spans="2:20" x14ac:dyDescent="0.3">
      <c r="B64" s="23"/>
      <c r="P64"/>
      <c r="Q64"/>
      <c r="R64"/>
      <c r="S64"/>
      <c r="T64"/>
    </row>
    <row r="65" spans="2:20" x14ac:dyDescent="0.3">
      <c r="B65" s="23"/>
      <c r="P65"/>
      <c r="Q65"/>
      <c r="R65"/>
      <c r="S65"/>
      <c r="T65"/>
    </row>
    <row r="66" spans="2:20" x14ac:dyDescent="0.3">
      <c r="B66" s="23"/>
      <c r="P66"/>
      <c r="Q66"/>
      <c r="R66"/>
      <c r="S66"/>
      <c r="T66"/>
    </row>
    <row r="67" spans="2:20" x14ac:dyDescent="0.3">
      <c r="B67" s="23"/>
      <c r="P67"/>
      <c r="Q67"/>
      <c r="R67"/>
      <c r="S67"/>
      <c r="T67"/>
    </row>
    <row r="68" spans="2:20" x14ac:dyDescent="0.3">
      <c r="B68" s="23"/>
      <c r="P68"/>
      <c r="Q68"/>
      <c r="R68"/>
      <c r="S68"/>
      <c r="T68"/>
    </row>
    <row r="69" spans="2:20" x14ac:dyDescent="0.3">
      <c r="B69" s="23"/>
      <c r="P69"/>
      <c r="Q69"/>
      <c r="R69"/>
      <c r="S69"/>
      <c r="T69"/>
    </row>
    <row r="70" spans="2:20" x14ac:dyDescent="0.3">
      <c r="B70" s="23"/>
      <c r="P70"/>
      <c r="Q70"/>
      <c r="R70"/>
      <c r="S70"/>
      <c r="T70"/>
    </row>
    <row r="71" spans="2:20" x14ac:dyDescent="0.3">
      <c r="B71" s="23"/>
      <c r="P71"/>
      <c r="Q71"/>
      <c r="R71"/>
      <c r="S71"/>
      <c r="T71"/>
    </row>
    <row r="72" spans="2:20" x14ac:dyDescent="0.3">
      <c r="B72" s="23"/>
      <c r="P72"/>
      <c r="Q72"/>
      <c r="R72"/>
      <c r="S72"/>
      <c r="T72"/>
    </row>
    <row r="73" spans="2:20" x14ac:dyDescent="0.3">
      <c r="B73" s="23"/>
      <c r="P73"/>
      <c r="Q73"/>
      <c r="R73"/>
      <c r="S73"/>
      <c r="T73"/>
    </row>
    <row r="74" spans="2:20" x14ac:dyDescent="0.3">
      <c r="B74" s="23"/>
      <c r="P74"/>
      <c r="Q74"/>
      <c r="R74"/>
      <c r="S74"/>
      <c r="T74"/>
    </row>
    <row r="75" spans="2:20" x14ac:dyDescent="0.3">
      <c r="B75" s="23"/>
      <c r="P75"/>
      <c r="Q75"/>
      <c r="R75"/>
      <c r="S75"/>
      <c r="T75"/>
    </row>
    <row r="76" spans="2:20" x14ac:dyDescent="0.3">
      <c r="B76" s="23"/>
      <c r="P76"/>
      <c r="Q76"/>
      <c r="R76"/>
      <c r="S76"/>
      <c r="T76"/>
    </row>
    <row r="77" spans="2:20" x14ac:dyDescent="0.3">
      <c r="B77" s="23"/>
      <c r="P77"/>
      <c r="Q77"/>
      <c r="R77"/>
      <c r="S77"/>
      <c r="T77"/>
    </row>
    <row r="78" spans="2:20" x14ac:dyDescent="0.3">
      <c r="B78" s="23"/>
      <c r="P78"/>
      <c r="Q78"/>
      <c r="R78"/>
      <c r="S78"/>
      <c r="T78"/>
    </row>
    <row r="79" spans="2:20" x14ac:dyDescent="0.3">
      <c r="B79" s="23"/>
      <c r="P79"/>
      <c r="Q79"/>
      <c r="R79"/>
      <c r="S79"/>
      <c r="T79"/>
    </row>
    <row r="80" spans="2:20" x14ac:dyDescent="0.3">
      <c r="B80" s="23"/>
      <c r="P80"/>
      <c r="Q80"/>
      <c r="R80"/>
      <c r="S80"/>
      <c r="T80"/>
    </row>
    <row r="81" spans="2:20" x14ac:dyDescent="0.3">
      <c r="B81" s="23"/>
      <c r="P81"/>
      <c r="Q81"/>
      <c r="R81"/>
      <c r="S81"/>
      <c r="T81"/>
    </row>
    <row r="82" spans="2:20" x14ac:dyDescent="0.3">
      <c r="B82" s="23"/>
      <c r="P82"/>
      <c r="Q82"/>
      <c r="R82"/>
      <c r="S82"/>
      <c r="T82"/>
    </row>
    <row r="83" spans="2:20" x14ac:dyDescent="0.3">
      <c r="B83" s="23"/>
      <c r="P83"/>
      <c r="Q83"/>
      <c r="R83"/>
      <c r="S83"/>
      <c r="T83"/>
    </row>
    <row r="84" spans="2:20" x14ac:dyDescent="0.3">
      <c r="B84" s="23"/>
      <c r="P84"/>
      <c r="Q84"/>
      <c r="R84"/>
      <c r="S84"/>
      <c r="T84"/>
    </row>
    <row r="85" spans="2:20" x14ac:dyDescent="0.3">
      <c r="B85" s="23"/>
      <c r="P85"/>
      <c r="Q85"/>
      <c r="R85"/>
      <c r="S85"/>
      <c r="T85"/>
    </row>
    <row r="86" spans="2:20" x14ac:dyDescent="0.3">
      <c r="B86" s="23"/>
      <c r="P86"/>
      <c r="Q86"/>
      <c r="R86"/>
      <c r="S86"/>
      <c r="T86"/>
    </row>
    <row r="87" spans="2:20" x14ac:dyDescent="0.3">
      <c r="B87" s="23"/>
      <c r="P87"/>
      <c r="Q87"/>
      <c r="R87"/>
      <c r="S87"/>
      <c r="T87"/>
    </row>
    <row r="88" spans="2:20" x14ac:dyDescent="0.3">
      <c r="B88" s="23"/>
      <c r="P88"/>
      <c r="Q88"/>
      <c r="R88"/>
      <c r="S88"/>
      <c r="T88"/>
    </row>
    <row r="89" spans="2:20" x14ac:dyDescent="0.3">
      <c r="B89" s="23"/>
      <c r="P89"/>
      <c r="Q89"/>
      <c r="R89"/>
      <c r="S89"/>
      <c r="T89"/>
    </row>
    <row r="90" spans="2:20" x14ac:dyDescent="0.3">
      <c r="B90" s="23"/>
      <c r="P90"/>
      <c r="Q90"/>
      <c r="R90"/>
      <c r="S90"/>
      <c r="T90"/>
    </row>
    <row r="91" spans="2:20" x14ac:dyDescent="0.3">
      <c r="B91" s="23"/>
      <c r="P91"/>
      <c r="Q91"/>
      <c r="R91"/>
      <c r="S91"/>
      <c r="T91"/>
    </row>
    <row r="92" spans="2:20" x14ac:dyDescent="0.3">
      <c r="B92" s="23"/>
      <c r="P92"/>
      <c r="Q92"/>
      <c r="R92"/>
      <c r="S92"/>
      <c r="T92"/>
    </row>
    <row r="93" spans="2:20" x14ac:dyDescent="0.3">
      <c r="B93" s="23"/>
      <c r="P93"/>
      <c r="Q93"/>
      <c r="R93"/>
      <c r="S93"/>
      <c r="T93"/>
    </row>
    <row r="94" spans="2:20" x14ac:dyDescent="0.3">
      <c r="B94" s="23"/>
      <c r="P94"/>
      <c r="Q94"/>
      <c r="R94"/>
      <c r="S94"/>
      <c r="T94"/>
    </row>
    <row r="95" spans="2:20" x14ac:dyDescent="0.3">
      <c r="B95" s="23"/>
      <c r="P95"/>
      <c r="Q95"/>
      <c r="R95"/>
      <c r="S95"/>
      <c r="T95"/>
    </row>
    <row r="96" spans="2:20" x14ac:dyDescent="0.3">
      <c r="B96" s="23"/>
      <c r="P96"/>
      <c r="Q96"/>
      <c r="R96"/>
      <c r="S96"/>
      <c r="T96"/>
    </row>
    <row r="97" spans="2:20" x14ac:dyDescent="0.3">
      <c r="B97" s="23"/>
      <c r="P97"/>
      <c r="Q97"/>
      <c r="R97"/>
      <c r="S97"/>
      <c r="T97"/>
    </row>
    <row r="98" spans="2:20" x14ac:dyDescent="0.3">
      <c r="B98" s="23"/>
      <c r="P98"/>
      <c r="Q98"/>
      <c r="R98"/>
      <c r="S98"/>
      <c r="T98"/>
    </row>
    <row r="99" spans="2:20" x14ac:dyDescent="0.3">
      <c r="B99" s="23"/>
      <c r="P99"/>
      <c r="Q99"/>
      <c r="R99"/>
      <c r="S99"/>
      <c r="T99"/>
    </row>
    <row r="100" spans="2:20" x14ac:dyDescent="0.3">
      <c r="B100" s="23"/>
      <c r="P100"/>
      <c r="Q100"/>
      <c r="R100"/>
      <c r="S100"/>
      <c r="T100"/>
    </row>
    <row r="101" spans="2:20" x14ac:dyDescent="0.3">
      <c r="B101" s="23"/>
      <c r="P101"/>
      <c r="Q101"/>
      <c r="R101"/>
      <c r="S101"/>
      <c r="T101"/>
    </row>
    <row r="102" spans="2:20" x14ac:dyDescent="0.3">
      <c r="B102" s="23"/>
      <c r="P102"/>
      <c r="Q102"/>
      <c r="R102"/>
      <c r="S102"/>
      <c r="T102"/>
    </row>
    <row r="103" spans="2:20" x14ac:dyDescent="0.3">
      <c r="B103" s="23"/>
      <c r="P103"/>
      <c r="Q103"/>
      <c r="R103"/>
      <c r="S103"/>
      <c r="T103"/>
    </row>
    <row r="104" spans="2:20" x14ac:dyDescent="0.3">
      <c r="B104" s="23"/>
      <c r="P104"/>
      <c r="Q104"/>
      <c r="R104"/>
      <c r="S104"/>
      <c r="T104"/>
    </row>
    <row r="105" spans="2:20" x14ac:dyDescent="0.3">
      <c r="B105" s="23"/>
      <c r="P105"/>
      <c r="Q105"/>
      <c r="R105"/>
      <c r="S105"/>
      <c r="T105"/>
    </row>
    <row r="106" spans="2:20" x14ac:dyDescent="0.3">
      <c r="B106" s="23"/>
      <c r="P106"/>
      <c r="Q106"/>
      <c r="R106"/>
      <c r="S106"/>
      <c r="T106"/>
    </row>
    <row r="107" spans="2:20" x14ac:dyDescent="0.3">
      <c r="B107" s="23"/>
      <c r="P107"/>
      <c r="Q107"/>
      <c r="R107"/>
      <c r="S107"/>
      <c r="T107"/>
    </row>
    <row r="108" spans="2:20" x14ac:dyDescent="0.3">
      <c r="B108" s="23"/>
      <c r="P108"/>
      <c r="Q108"/>
      <c r="R108"/>
      <c r="S108"/>
      <c r="T108"/>
    </row>
    <row r="109" spans="2:20" x14ac:dyDescent="0.3">
      <c r="B109" s="23"/>
      <c r="P109"/>
      <c r="Q109"/>
      <c r="R109"/>
      <c r="S109"/>
      <c r="T109"/>
    </row>
    <row r="110" spans="2:20" x14ac:dyDescent="0.3">
      <c r="B110" s="23"/>
      <c r="P110"/>
      <c r="Q110"/>
      <c r="R110"/>
      <c r="S110"/>
      <c r="T110"/>
    </row>
    <row r="111" spans="2:20" x14ac:dyDescent="0.3">
      <c r="B111" s="23"/>
      <c r="P111"/>
      <c r="Q111"/>
      <c r="R111"/>
      <c r="S111"/>
      <c r="T111"/>
    </row>
    <row r="112" spans="2:20" x14ac:dyDescent="0.3">
      <c r="B112" s="23"/>
      <c r="P112"/>
      <c r="Q112"/>
      <c r="R112"/>
      <c r="S112"/>
      <c r="T112"/>
    </row>
    <row r="113" spans="2:20" x14ac:dyDescent="0.3">
      <c r="B113" s="23"/>
      <c r="P113"/>
      <c r="Q113"/>
      <c r="R113"/>
      <c r="S113"/>
      <c r="T113"/>
    </row>
    <row r="114" spans="2:20" x14ac:dyDescent="0.3">
      <c r="B114" s="23"/>
      <c r="P114"/>
      <c r="Q114"/>
      <c r="R114"/>
      <c r="S114"/>
      <c r="T114"/>
    </row>
    <row r="115" spans="2:20" x14ac:dyDescent="0.3">
      <c r="B115" s="23"/>
      <c r="P115"/>
      <c r="Q115"/>
      <c r="R115"/>
      <c r="S115"/>
      <c r="T115"/>
    </row>
    <row r="116" spans="2:20" x14ac:dyDescent="0.3">
      <c r="B116" s="23"/>
      <c r="P116"/>
      <c r="Q116"/>
      <c r="R116"/>
      <c r="S116"/>
      <c r="T116"/>
    </row>
    <row r="117" spans="2:20" x14ac:dyDescent="0.3">
      <c r="B117" s="23"/>
      <c r="P117"/>
      <c r="Q117"/>
      <c r="R117"/>
      <c r="S117"/>
      <c r="T117"/>
    </row>
    <row r="118" spans="2:20" x14ac:dyDescent="0.3">
      <c r="B118" s="23"/>
      <c r="P118"/>
      <c r="Q118"/>
      <c r="R118"/>
      <c r="S118"/>
      <c r="T118"/>
    </row>
    <row r="119" spans="2:20" x14ac:dyDescent="0.3">
      <c r="B119" s="23"/>
      <c r="P119"/>
      <c r="Q119"/>
      <c r="R119"/>
      <c r="S119"/>
      <c r="T119"/>
    </row>
    <row r="120" spans="2:20" x14ac:dyDescent="0.3">
      <c r="B120" s="23"/>
      <c r="P120"/>
      <c r="Q120"/>
      <c r="R120"/>
      <c r="S120"/>
      <c r="T120"/>
    </row>
    <row r="121" spans="2:20" x14ac:dyDescent="0.3">
      <c r="B121" s="23"/>
      <c r="P121"/>
      <c r="Q121"/>
      <c r="R121"/>
      <c r="S121"/>
      <c r="T121"/>
    </row>
    <row r="122" spans="2:20" x14ac:dyDescent="0.3">
      <c r="B122" s="23"/>
      <c r="P122"/>
      <c r="Q122"/>
      <c r="R122"/>
      <c r="S122"/>
      <c r="T122"/>
    </row>
    <row r="123" spans="2:20" x14ac:dyDescent="0.3">
      <c r="B123" s="23"/>
      <c r="P123"/>
      <c r="Q123"/>
      <c r="R123"/>
      <c r="S123"/>
      <c r="T123"/>
    </row>
    <row r="124" spans="2:20" x14ac:dyDescent="0.3">
      <c r="B124" s="23"/>
      <c r="P124"/>
      <c r="Q124"/>
      <c r="R124"/>
      <c r="S124"/>
      <c r="T124"/>
    </row>
    <row r="125" spans="2:20" x14ac:dyDescent="0.3">
      <c r="B125" s="23"/>
      <c r="P125"/>
      <c r="Q125"/>
      <c r="R125"/>
      <c r="S125"/>
      <c r="T125"/>
    </row>
    <row r="126" spans="2:20" x14ac:dyDescent="0.3">
      <c r="B126" s="23"/>
      <c r="P126"/>
      <c r="Q126"/>
      <c r="R126"/>
      <c r="S126"/>
      <c r="T126"/>
    </row>
    <row r="127" spans="2:20" x14ac:dyDescent="0.3">
      <c r="B127" s="23"/>
      <c r="P127"/>
      <c r="Q127"/>
      <c r="R127"/>
      <c r="S127"/>
      <c r="T127"/>
    </row>
    <row r="128" spans="2:20" x14ac:dyDescent="0.3">
      <c r="B128" s="23"/>
      <c r="P128"/>
      <c r="Q128"/>
      <c r="R128"/>
      <c r="S128"/>
      <c r="T128"/>
    </row>
    <row r="129" spans="2:20" x14ac:dyDescent="0.3">
      <c r="B129" s="23"/>
      <c r="P129"/>
      <c r="Q129"/>
      <c r="R129"/>
      <c r="S129"/>
      <c r="T129"/>
    </row>
    <row r="130" spans="2:20" x14ac:dyDescent="0.3">
      <c r="B130" s="23"/>
      <c r="P130"/>
      <c r="Q130"/>
      <c r="R130"/>
      <c r="S130"/>
      <c r="T130"/>
    </row>
    <row r="131" spans="2:20" x14ac:dyDescent="0.3">
      <c r="B131" s="23"/>
      <c r="P131"/>
      <c r="Q131"/>
      <c r="R131"/>
      <c r="S131"/>
      <c r="T131"/>
    </row>
    <row r="132" spans="2:20" x14ac:dyDescent="0.3">
      <c r="B132" s="23"/>
      <c r="P132"/>
      <c r="Q132"/>
      <c r="R132"/>
      <c r="S132"/>
      <c r="T132"/>
    </row>
    <row r="133" spans="2:20" x14ac:dyDescent="0.3">
      <c r="B133" s="23"/>
      <c r="P133"/>
      <c r="Q133"/>
      <c r="R133"/>
      <c r="S133"/>
      <c r="T133"/>
    </row>
    <row r="134" spans="2:20" x14ac:dyDescent="0.3">
      <c r="B134" s="23"/>
      <c r="P134"/>
      <c r="Q134"/>
      <c r="R134"/>
      <c r="S134"/>
      <c r="T134"/>
    </row>
    <row r="135" spans="2:20" x14ac:dyDescent="0.3">
      <c r="B135" s="23"/>
      <c r="P135"/>
      <c r="Q135"/>
      <c r="R135"/>
      <c r="S135"/>
      <c r="T135"/>
    </row>
    <row r="136" spans="2:20" x14ac:dyDescent="0.3">
      <c r="B136" s="23"/>
      <c r="P136"/>
      <c r="Q136"/>
      <c r="R136"/>
      <c r="S136"/>
      <c r="T136"/>
    </row>
    <row r="137" spans="2:20" x14ac:dyDescent="0.3">
      <c r="B137" s="23"/>
      <c r="P137"/>
      <c r="Q137"/>
      <c r="R137"/>
      <c r="S137"/>
      <c r="T137"/>
    </row>
    <row r="138" spans="2:20" x14ac:dyDescent="0.3">
      <c r="B138" s="23"/>
      <c r="P138"/>
      <c r="Q138"/>
      <c r="R138"/>
      <c r="S138"/>
      <c r="T138"/>
    </row>
    <row r="139" spans="2:20" x14ac:dyDescent="0.3">
      <c r="B139" s="23"/>
      <c r="P139"/>
      <c r="Q139"/>
      <c r="R139"/>
      <c r="S139"/>
      <c r="T139"/>
    </row>
    <row r="140" spans="2:20" x14ac:dyDescent="0.3">
      <c r="B140" s="23"/>
      <c r="P140"/>
      <c r="Q140"/>
      <c r="R140"/>
      <c r="S140"/>
      <c r="T140"/>
    </row>
    <row r="141" spans="2:20" x14ac:dyDescent="0.3">
      <c r="B141" s="23"/>
      <c r="P141"/>
      <c r="Q141"/>
      <c r="R141"/>
      <c r="S141"/>
      <c r="T141"/>
    </row>
    <row r="142" spans="2:20" x14ac:dyDescent="0.3">
      <c r="B142" s="23"/>
      <c r="P142"/>
      <c r="Q142"/>
      <c r="R142"/>
      <c r="S142"/>
      <c r="T142"/>
    </row>
    <row r="143" spans="2:20" x14ac:dyDescent="0.3">
      <c r="B143" s="23"/>
      <c r="P143"/>
      <c r="Q143"/>
      <c r="R143"/>
      <c r="S143"/>
      <c r="T143"/>
    </row>
    <row r="144" spans="2:20" x14ac:dyDescent="0.3">
      <c r="B144" s="23"/>
      <c r="P144"/>
      <c r="Q144"/>
      <c r="R144"/>
      <c r="S144"/>
      <c r="T144"/>
    </row>
    <row r="145" spans="2:20" x14ac:dyDescent="0.3">
      <c r="B145" s="23"/>
      <c r="P145"/>
      <c r="Q145"/>
      <c r="R145"/>
      <c r="S145"/>
      <c r="T145"/>
    </row>
    <row r="146" spans="2:20" x14ac:dyDescent="0.3">
      <c r="B146" s="23"/>
      <c r="P146"/>
      <c r="Q146"/>
      <c r="R146"/>
      <c r="S146"/>
      <c r="T146"/>
    </row>
    <row r="147" spans="2:20" x14ac:dyDescent="0.3">
      <c r="B147" s="23"/>
      <c r="P147"/>
      <c r="Q147"/>
      <c r="R147"/>
      <c r="S147"/>
      <c r="T147"/>
    </row>
    <row r="148" spans="2:20" x14ac:dyDescent="0.3">
      <c r="B148" s="23"/>
      <c r="P148"/>
      <c r="Q148"/>
      <c r="R148"/>
      <c r="S148"/>
      <c r="T148"/>
    </row>
    <row r="149" spans="2:20" x14ac:dyDescent="0.3">
      <c r="B149" s="23"/>
      <c r="P149"/>
      <c r="Q149"/>
      <c r="R149"/>
      <c r="S149"/>
      <c r="T149"/>
    </row>
    <row r="150" spans="2:20" x14ac:dyDescent="0.3">
      <c r="B150" s="23"/>
      <c r="P150"/>
      <c r="Q150"/>
      <c r="R150"/>
      <c r="S150"/>
      <c r="T150"/>
    </row>
    <row r="151" spans="2:20" x14ac:dyDescent="0.3">
      <c r="B151" s="23"/>
      <c r="P151"/>
      <c r="Q151"/>
      <c r="R151"/>
      <c r="S151"/>
      <c r="T151"/>
    </row>
    <row r="152" spans="2:20" x14ac:dyDescent="0.3">
      <c r="B152" s="23"/>
      <c r="P152"/>
      <c r="Q152"/>
      <c r="R152"/>
      <c r="S152"/>
      <c r="T152"/>
    </row>
    <row r="153" spans="2:20" x14ac:dyDescent="0.3">
      <c r="B153" s="23"/>
      <c r="P153"/>
      <c r="Q153"/>
      <c r="R153"/>
      <c r="S153"/>
      <c r="T153"/>
    </row>
    <row r="154" spans="2:20" x14ac:dyDescent="0.3">
      <c r="B154" s="23"/>
      <c r="P154"/>
      <c r="Q154"/>
      <c r="R154"/>
      <c r="S154"/>
      <c r="T154"/>
    </row>
    <row r="155" spans="2:20" x14ac:dyDescent="0.3">
      <c r="B155" s="23"/>
      <c r="P155"/>
      <c r="Q155"/>
      <c r="R155"/>
      <c r="S155"/>
      <c r="T155"/>
    </row>
    <row r="156" spans="2:20" x14ac:dyDescent="0.3">
      <c r="B156" s="23"/>
      <c r="P156"/>
      <c r="Q156"/>
      <c r="R156"/>
      <c r="S156"/>
      <c r="T156"/>
    </row>
    <row r="157" spans="2:20" x14ac:dyDescent="0.3">
      <c r="B157" s="23"/>
      <c r="P157"/>
      <c r="Q157"/>
      <c r="R157"/>
      <c r="S157"/>
      <c r="T157"/>
    </row>
    <row r="158" spans="2:20" x14ac:dyDescent="0.3">
      <c r="B158" s="23"/>
      <c r="P158"/>
      <c r="Q158"/>
      <c r="R158"/>
      <c r="S158"/>
      <c r="T158"/>
    </row>
    <row r="159" spans="2:20" x14ac:dyDescent="0.3">
      <c r="B159" s="23"/>
      <c r="P159"/>
      <c r="Q159"/>
      <c r="R159"/>
      <c r="S159"/>
      <c r="T159"/>
    </row>
    <row r="160" spans="2:20" x14ac:dyDescent="0.3">
      <c r="B160" s="23"/>
      <c r="P160"/>
      <c r="Q160"/>
      <c r="R160"/>
      <c r="S160"/>
      <c r="T160"/>
    </row>
    <row r="161" spans="2:20" x14ac:dyDescent="0.3">
      <c r="B161" s="23"/>
      <c r="P161"/>
      <c r="Q161"/>
      <c r="R161"/>
      <c r="S161"/>
      <c r="T161"/>
    </row>
    <row r="162" spans="2:20" x14ac:dyDescent="0.3">
      <c r="B162" s="23"/>
      <c r="P162"/>
      <c r="Q162"/>
      <c r="R162"/>
      <c r="S162"/>
      <c r="T162"/>
    </row>
    <row r="163" spans="2:20" x14ac:dyDescent="0.3">
      <c r="B163" s="23"/>
      <c r="P163"/>
      <c r="Q163"/>
      <c r="R163"/>
      <c r="S163"/>
      <c r="T163"/>
    </row>
    <row r="164" spans="2:20" x14ac:dyDescent="0.3">
      <c r="B164" s="23"/>
      <c r="P164"/>
      <c r="Q164"/>
      <c r="R164"/>
      <c r="S164"/>
      <c r="T164"/>
    </row>
    <row r="165" spans="2:20" x14ac:dyDescent="0.3">
      <c r="B165" s="23"/>
      <c r="P165"/>
      <c r="Q165"/>
      <c r="R165"/>
      <c r="S165"/>
      <c r="T165"/>
    </row>
    <row r="166" spans="2:20" x14ac:dyDescent="0.3">
      <c r="B166" s="23"/>
      <c r="P166"/>
      <c r="Q166"/>
      <c r="R166"/>
      <c r="S166"/>
      <c r="T166"/>
    </row>
    <row r="167" spans="2:20" x14ac:dyDescent="0.3">
      <c r="B167" s="23"/>
      <c r="P167"/>
      <c r="Q167"/>
      <c r="R167"/>
      <c r="S167"/>
      <c r="T167"/>
    </row>
    <row r="168" spans="2:20" x14ac:dyDescent="0.3">
      <c r="B168" s="23"/>
      <c r="P168"/>
      <c r="Q168"/>
      <c r="R168"/>
      <c r="S168"/>
      <c r="T168"/>
    </row>
    <row r="169" spans="2:20" x14ac:dyDescent="0.3">
      <c r="B169" s="23"/>
      <c r="P169"/>
      <c r="Q169"/>
      <c r="R169"/>
      <c r="S169"/>
      <c r="T169"/>
    </row>
    <row r="170" spans="2:20" x14ac:dyDescent="0.3">
      <c r="B170" s="23"/>
      <c r="P170"/>
      <c r="Q170"/>
      <c r="R170"/>
      <c r="S170"/>
      <c r="T170"/>
    </row>
    <row r="171" spans="2:20" x14ac:dyDescent="0.3">
      <c r="B171" s="23"/>
      <c r="P171"/>
      <c r="Q171"/>
      <c r="R171"/>
      <c r="S171"/>
      <c r="T171"/>
    </row>
    <row r="172" spans="2:20" x14ac:dyDescent="0.3">
      <c r="B172" s="23"/>
      <c r="P172"/>
      <c r="Q172"/>
      <c r="R172"/>
      <c r="S172"/>
      <c r="T172"/>
    </row>
    <row r="173" spans="2:20" x14ac:dyDescent="0.3">
      <c r="B173" s="23"/>
      <c r="P173"/>
      <c r="Q173"/>
      <c r="R173"/>
      <c r="S173"/>
      <c r="T173"/>
    </row>
    <row r="174" spans="2:20" x14ac:dyDescent="0.3">
      <c r="B174" s="23"/>
      <c r="P174"/>
      <c r="Q174"/>
      <c r="R174"/>
      <c r="S174"/>
      <c r="T174"/>
    </row>
    <row r="175" spans="2:20" x14ac:dyDescent="0.3">
      <c r="B175" s="23"/>
      <c r="P175"/>
      <c r="Q175"/>
      <c r="R175"/>
      <c r="S175"/>
      <c r="T175"/>
    </row>
    <row r="176" spans="2:20" x14ac:dyDescent="0.3">
      <c r="B176" s="23"/>
      <c r="P176"/>
      <c r="Q176"/>
      <c r="R176"/>
      <c r="S176"/>
      <c r="T176"/>
    </row>
    <row r="177" spans="2:20" x14ac:dyDescent="0.3">
      <c r="B177" s="23"/>
      <c r="P177"/>
      <c r="Q177"/>
      <c r="R177"/>
      <c r="S177"/>
      <c r="T177"/>
    </row>
    <row r="178" spans="2:20" x14ac:dyDescent="0.3">
      <c r="B178" s="23"/>
      <c r="P178"/>
      <c r="Q178"/>
      <c r="R178"/>
      <c r="S178"/>
      <c r="T178"/>
    </row>
    <row r="179" spans="2:20" x14ac:dyDescent="0.3">
      <c r="B179" s="23"/>
      <c r="P179"/>
      <c r="Q179"/>
      <c r="R179"/>
      <c r="S179"/>
      <c r="T179"/>
    </row>
    <row r="180" spans="2:20" x14ac:dyDescent="0.3">
      <c r="B180" s="23"/>
      <c r="P180"/>
      <c r="Q180"/>
      <c r="R180"/>
      <c r="S180"/>
      <c r="T180"/>
    </row>
    <row r="181" spans="2:20" x14ac:dyDescent="0.3">
      <c r="B181" s="23"/>
      <c r="P181"/>
      <c r="Q181"/>
      <c r="R181"/>
      <c r="S181"/>
      <c r="T181"/>
    </row>
    <row r="182" spans="2:20" x14ac:dyDescent="0.3">
      <c r="B182" s="23"/>
      <c r="P182"/>
      <c r="Q182"/>
      <c r="R182"/>
      <c r="S182"/>
      <c r="T182"/>
    </row>
    <row r="183" spans="2:20" x14ac:dyDescent="0.3">
      <c r="B183" s="23"/>
      <c r="P183"/>
      <c r="Q183"/>
      <c r="R183"/>
      <c r="S183"/>
      <c r="T183"/>
    </row>
    <row r="184" spans="2:20" x14ac:dyDescent="0.3">
      <c r="B184" s="23"/>
      <c r="P184"/>
      <c r="Q184"/>
      <c r="R184"/>
      <c r="S184"/>
      <c r="T184"/>
    </row>
    <row r="185" spans="2:20" x14ac:dyDescent="0.3">
      <c r="B185" s="23"/>
      <c r="P185"/>
      <c r="Q185"/>
      <c r="R185"/>
      <c r="S185"/>
      <c r="T185"/>
    </row>
    <row r="186" spans="2:20" x14ac:dyDescent="0.3">
      <c r="B186" s="23"/>
      <c r="P186"/>
      <c r="Q186"/>
      <c r="R186"/>
      <c r="S186"/>
      <c r="T186"/>
    </row>
    <row r="187" spans="2:20" x14ac:dyDescent="0.3">
      <c r="B187" s="23"/>
      <c r="P187"/>
      <c r="Q187"/>
      <c r="R187"/>
      <c r="S187"/>
      <c r="T187"/>
    </row>
    <row r="188" spans="2:20" x14ac:dyDescent="0.3">
      <c r="B188" s="23"/>
      <c r="P188"/>
      <c r="Q188"/>
      <c r="R188"/>
      <c r="S188"/>
      <c r="T188"/>
    </row>
    <row r="189" spans="2:20" x14ac:dyDescent="0.3">
      <c r="B189" s="23"/>
      <c r="P189"/>
      <c r="Q189"/>
      <c r="R189"/>
      <c r="S189"/>
      <c r="T189"/>
    </row>
    <row r="190" spans="2:20" x14ac:dyDescent="0.3">
      <c r="B190" s="23"/>
      <c r="P190"/>
      <c r="Q190"/>
      <c r="R190"/>
      <c r="S190"/>
      <c r="T190"/>
    </row>
    <row r="191" spans="2:20" x14ac:dyDescent="0.3">
      <c r="B191" s="23"/>
      <c r="P191"/>
      <c r="Q191"/>
      <c r="R191"/>
      <c r="S191"/>
      <c r="T191"/>
    </row>
    <row r="192" spans="2:20" x14ac:dyDescent="0.3">
      <c r="B192" s="23"/>
      <c r="P192"/>
      <c r="Q192"/>
      <c r="R192"/>
      <c r="S192"/>
      <c r="T19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2356C-97FA-4F23-9622-E9D72FC6B265}">
  <dimension ref="A1:AA145"/>
  <sheetViews>
    <sheetView topLeftCell="A4" zoomScale="99" workbookViewId="0">
      <selection sqref="A1:B1048576"/>
    </sheetView>
  </sheetViews>
  <sheetFormatPr defaultRowHeight="14.4" x14ac:dyDescent="0.3"/>
  <cols>
    <col min="1" max="1" width="14.109375" style="23" customWidth="1"/>
    <col min="2" max="2" width="14.109375" style="2" customWidth="1"/>
    <col min="3" max="3" width="31.88671875" customWidth="1"/>
    <col min="4" max="4" width="22" customWidth="1"/>
    <col min="5" max="5" width="24.109375" customWidth="1"/>
    <col min="6" max="6" width="21.77734375" customWidth="1"/>
    <col min="7" max="7" width="22" customWidth="1"/>
    <col min="8" max="8" width="23.21875" customWidth="1"/>
    <col min="9" max="9" width="29.21875" customWidth="1"/>
    <col min="10" max="10" width="19.33203125" customWidth="1"/>
    <col min="11" max="11" width="18.21875" customWidth="1"/>
    <col min="12" max="12" width="16.6640625" customWidth="1"/>
    <col min="13" max="13" width="18.21875" customWidth="1"/>
    <col min="14" max="14" width="15.88671875" customWidth="1"/>
    <col min="15" max="15" width="16.44140625" customWidth="1"/>
    <col min="16" max="16" width="14.5546875" customWidth="1"/>
    <col min="17" max="17" width="20.77734375" customWidth="1"/>
    <col min="18" max="18" width="14.88671875" customWidth="1"/>
    <col min="19" max="19" width="15.109375" style="3" customWidth="1"/>
    <col min="20" max="20" width="14.33203125" style="9" customWidth="1"/>
    <col min="21" max="21" width="14.21875" style="13" customWidth="1"/>
    <col min="22" max="22" width="13.33203125" style="10" customWidth="1"/>
    <col min="23" max="23" width="13.33203125" style="16" customWidth="1"/>
    <col min="24" max="24" width="13.77734375" style="17" customWidth="1"/>
    <col min="25" max="25" width="18" style="18" customWidth="1"/>
    <col min="26" max="26" width="15.6640625" customWidth="1"/>
  </cols>
  <sheetData>
    <row r="1" spans="1:27" x14ac:dyDescent="0.3">
      <c r="A1" s="23" t="s">
        <v>0</v>
      </c>
      <c r="B1" s="2" t="s">
        <v>1</v>
      </c>
      <c r="C1" t="s">
        <v>80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68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99</v>
      </c>
      <c r="R1" t="s">
        <v>76</v>
      </c>
      <c r="S1" s="3" t="s">
        <v>100</v>
      </c>
      <c r="T1" s="9" t="s">
        <v>101</v>
      </c>
      <c r="U1" s="13" t="s">
        <v>102</v>
      </c>
      <c r="V1" s="10" t="s">
        <v>103</v>
      </c>
      <c r="W1" s="16" t="s">
        <v>104</v>
      </c>
      <c r="X1" s="17" t="s">
        <v>105</v>
      </c>
      <c r="Y1" s="18" t="s">
        <v>106</v>
      </c>
      <c r="Z1" t="s">
        <v>78</v>
      </c>
      <c r="AA1" t="s">
        <v>66</v>
      </c>
    </row>
    <row r="2" spans="1:27" x14ac:dyDescent="0.3">
      <c r="A2" s="23" t="s">
        <v>134</v>
      </c>
      <c r="B2" s="2">
        <v>0.41666666666666669</v>
      </c>
      <c r="C2">
        <v>4617859.8</v>
      </c>
      <c r="D2">
        <v>726565.46</v>
      </c>
      <c r="E2">
        <v>1700973.37</v>
      </c>
      <c r="F2">
        <v>456149.05</v>
      </c>
      <c r="G2">
        <v>511647.09</v>
      </c>
      <c r="H2">
        <v>128768.94</v>
      </c>
      <c r="I2">
        <v>47980.78</v>
      </c>
      <c r="J2">
        <v>44179.309000000001</v>
      </c>
      <c r="K2">
        <f t="shared" ref="K2:R2" si="0">C3-C2</f>
        <v>7324.3600000003353</v>
      </c>
      <c r="L2">
        <f t="shared" si="0"/>
        <v>600.70000000006985</v>
      </c>
      <c r="M2">
        <f t="shared" si="0"/>
        <v>1656.6799999999348</v>
      </c>
      <c r="N2">
        <f t="shared" si="0"/>
        <v>537.10999999998603</v>
      </c>
      <c r="O2">
        <f t="shared" si="0"/>
        <v>653.56999999994878</v>
      </c>
      <c r="P2">
        <f t="shared" si="0"/>
        <v>174.63000000000466</v>
      </c>
      <c r="Q2">
        <f t="shared" si="0"/>
        <v>39870.350000000006</v>
      </c>
      <c r="R2">
        <f t="shared" si="0"/>
        <v>185.37099999999919</v>
      </c>
      <c r="S2" s="3">
        <f>L2/Z2*100</f>
        <v>1.3752789679095023</v>
      </c>
      <c r="T2" s="9">
        <f>M2/Z2*100</f>
        <v>3.7929035467886791</v>
      </c>
      <c r="U2" s="13">
        <f>N2/Z2*100</f>
        <v>1.2296921698914063</v>
      </c>
      <c r="V2" s="10">
        <f>O2/Z2*100</f>
        <v>1.4963227485540844</v>
      </c>
      <c r="W2" s="16">
        <f>P2/Z2*100</f>
        <v>0.39980850035960525</v>
      </c>
      <c r="X2" s="17">
        <f>Q2/Z2*100</f>
        <v>91.281594470091989</v>
      </c>
      <c r="Y2" s="18">
        <f>R2/Z2*100</f>
        <v>0.42439959640473052</v>
      </c>
      <c r="Z2">
        <f>L2+M2+N2+O2+P2+Q2+R2</f>
        <v>43678.410999999949</v>
      </c>
      <c r="AA2">
        <f>S2+T2+U2+V2+W2+X2+Y2</f>
        <v>100</v>
      </c>
    </row>
    <row r="3" spans="1:27" x14ac:dyDescent="0.3">
      <c r="A3" s="23" t="s">
        <v>133</v>
      </c>
      <c r="B3" s="2">
        <v>0.41666666666666669</v>
      </c>
      <c r="C3">
        <v>4625184.16</v>
      </c>
      <c r="D3">
        <v>727166.16</v>
      </c>
      <c r="E3">
        <v>1702630.05</v>
      </c>
      <c r="F3">
        <v>456686.16</v>
      </c>
      <c r="G3">
        <v>512300.66</v>
      </c>
      <c r="H3">
        <v>128943.57</v>
      </c>
      <c r="I3">
        <v>87851.13</v>
      </c>
      <c r="J3">
        <v>44364.68</v>
      </c>
      <c r="K3">
        <f t="shared" ref="K3:K20" si="1">C4-C3</f>
        <v>7455.8700000001118</v>
      </c>
      <c r="L3">
        <f t="shared" ref="L3:L20" si="2">D4-D3</f>
        <v>656.52000000001863</v>
      </c>
      <c r="M3">
        <f t="shared" ref="M3:M20" si="3">E4-E3</f>
        <v>1626.4860000000335</v>
      </c>
      <c r="N3">
        <f t="shared" ref="N3:N20" si="4">F4-F3</f>
        <v>444.80000000004657</v>
      </c>
      <c r="O3">
        <f t="shared" ref="O3:O20" si="5">G4-G3</f>
        <v>628.57000000000698</v>
      </c>
      <c r="P3">
        <f t="shared" ref="P3:P20" si="6">H4-H3</f>
        <v>1162140.54</v>
      </c>
      <c r="Q3">
        <f t="shared" ref="Q3:Q20" si="7">I4-I3</f>
        <v>2691.6199999999953</v>
      </c>
      <c r="R3">
        <f t="shared" ref="R3:R20" si="8">J4-J3</f>
        <v>197.08999999999651</v>
      </c>
      <c r="S3" s="3">
        <f t="shared" ref="S3:S20" si="9">L3/Z3*100</f>
        <v>5.6190352345195524E-2</v>
      </c>
      <c r="T3" s="9">
        <f t="shared" ref="T3:T20" si="10">M3/Z3*100</f>
        <v>0.13920797755518033</v>
      </c>
      <c r="U3" s="13">
        <f t="shared" ref="U3:U20" si="11">N3/Z3*100</f>
        <v>3.8069622742863699E-2</v>
      </c>
      <c r="V3" s="10">
        <f t="shared" ref="V3:V20" si="12">O3/Z3*100</f>
        <v>5.3798162696671759E-2</v>
      </c>
      <c r="W3" s="16">
        <f t="shared" ref="W3:W20" si="13">P3/Z3*100</f>
        <v>99.465494451401241</v>
      </c>
      <c r="X3" s="17">
        <f t="shared" ref="X3:X20" si="14">Q3/Z3*100</f>
        <v>0.23037085873906452</v>
      </c>
      <c r="Y3" s="18">
        <f t="shared" ref="Y3:Y20" si="15">R3/Z3*100</f>
        <v>1.6868574519761887E-2</v>
      </c>
      <c r="Z3">
        <f t="shared" ref="Z3:Z20" si="16">L3+M3+N3+O3+P3+Q3+R3</f>
        <v>1168385.6260000004</v>
      </c>
      <c r="AA3">
        <f t="shared" ref="AA3:AA20" si="17">S3+T3+U3+V3+W3+X3+Y3</f>
        <v>99.999999999999986</v>
      </c>
    </row>
    <row r="4" spans="1:27" x14ac:dyDescent="0.3">
      <c r="A4" s="23" t="s">
        <v>34</v>
      </c>
      <c r="B4" s="2">
        <v>0.41666666666666669</v>
      </c>
      <c r="C4">
        <v>4632640.03</v>
      </c>
      <c r="D4">
        <v>727822.68</v>
      </c>
      <c r="E4">
        <v>1704256.5360000001</v>
      </c>
      <c r="F4">
        <v>457130.96</v>
      </c>
      <c r="G4">
        <v>512929.23</v>
      </c>
      <c r="H4">
        <v>1291084.1100000001</v>
      </c>
      <c r="I4">
        <v>90542.75</v>
      </c>
      <c r="J4">
        <v>44561.77</v>
      </c>
      <c r="K4">
        <f t="shared" si="1"/>
        <v>-4632640.03</v>
      </c>
      <c r="L4">
        <f t="shared" si="2"/>
        <v>-727822.68</v>
      </c>
      <c r="M4">
        <f t="shared" si="3"/>
        <v>-1704256.5360000001</v>
      </c>
      <c r="N4">
        <f t="shared" si="4"/>
        <v>-457130.96</v>
      </c>
      <c r="O4">
        <f t="shared" si="5"/>
        <v>-512929.23</v>
      </c>
      <c r="P4">
        <f t="shared" si="6"/>
        <v>-1291084.1100000001</v>
      </c>
      <c r="Q4">
        <f t="shared" si="7"/>
        <v>-90542.75</v>
      </c>
      <c r="R4">
        <f t="shared" si="8"/>
        <v>-44561.77</v>
      </c>
      <c r="S4" s="3">
        <f t="shared" si="9"/>
        <v>15.074010601047741</v>
      </c>
      <c r="T4" s="9">
        <f t="shared" si="10"/>
        <v>35.297032912699144</v>
      </c>
      <c r="U4" s="13">
        <f t="shared" si="11"/>
        <v>9.4676864660319886</v>
      </c>
      <c r="V4" s="10">
        <f t="shared" si="12"/>
        <v>10.623330191644005</v>
      </c>
      <c r="W4" s="16">
        <f t="shared" si="13"/>
        <v>26.7397761787037</v>
      </c>
      <c r="X4" s="17">
        <f t="shared" si="14"/>
        <v>1.875240234816556</v>
      </c>
      <c r="Y4" s="18">
        <f t="shared" si="15"/>
        <v>0.92292341505688036</v>
      </c>
      <c r="Z4">
        <f t="shared" si="16"/>
        <v>-4828328.0359999994</v>
      </c>
      <c r="AA4">
        <f t="shared" si="17"/>
        <v>100.00000000000001</v>
      </c>
    </row>
    <row r="5" spans="1:27" x14ac:dyDescent="0.3">
      <c r="A5" s="23" t="s">
        <v>37</v>
      </c>
      <c r="B5" s="2">
        <v>0.41666666666666669</v>
      </c>
    </row>
    <row r="6" spans="1:27" x14ac:dyDescent="0.3">
      <c r="A6" s="23" t="s">
        <v>38</v>
      </c>
      <c r="B6" s="2">
        <v>0.41666666666666669</v>
      </c>
      <c r="C6">
        <v>4643837.75</v>
      </c>
      <c r="D6">
        <v>728985.17</v>
      </c>
      <c r="E6">
        <v>1706356.98</v>
      </c>
      <c r="F6">
        <v>458064.18</v>
      </c>
      <c r="G6">
        <v>514104.51</v>
      </c>
      <c r="H6">
        <v>1294472.33</v>
      </c>
      <c r="I6">
        <v>95861.93</v>
      </c>
      <c r="J6">
        <v>44927.97</v>
      </c>
      <c r="K6">
        <f t="shared" si="1"/>
        <v>-4643837.75</v>
      </c>
      <c r="L6">
        <f t="shared" si="2"/>
        <v>-728985.17</v>
      </c>
      <c r="M6">
        <f t="shared" si="3"/>
        <v>-1706356.98</v>
      </c>
      <c r="N6">
        <f t="shared" si="4"/>
        <v>-458064.18</v>
      </c>
      <c r="O6">
        <f t="shared" si="5"/>
        <v>-514104.51</v>
      </c>
      <c r="P6">
        <f t="shared" si="6"/>
        <v>-1294472.33</v>
      </c>
      <c r="Q6">
        <f t="shared" si="7"/>
        <v>-95861.93</v>
      </c>
      <c r="R6">
        <f t="shared" si="8"/>
        <v>-44927.97</v>
      </c>
      <c r="S6" s="3">
        <f t="shared" si="9"/>
        <v>15.05305244459865</v>
      </c>
      <c r="T6" s="9">
        <f t="shared" si="10"/>
        <v>35.235121599451702</v>
      </c>
      <c r="U6" s="13">
        <f t="shared" si="11"/>
        <v>9.4587165943747191</v>
      </c>
      <c r="V6" s="10">
        <f t="shared" si="12"/>
        <v>10.615911639237725</v>
      </c>
      <c r="W6" s="16">
        <f t="shared" si="13"/>
        <v>26.729981175847257</v>
      </c>
      <c r="X6" s="17">
        <f t="shared" si="14"/>
        <v>1.9794842462027653</v>
      </c>
      <c r="Y6" s="18">
        <f t="shared" si="15"/>
        <v>0.927732300287199</v>
      </c>
      <c r="Z6">
        <f t="shared" si="16"/>
        <v>-4842773.0699999994</v>
      </c>
      <c r="AA6">
        <f t="shared" si="17"/>
        <v>100.00000000000001</v>
      </c>
    </row>
    <row r="7" spans="1:27" x14ac:dyDescent="0.3">
      <c r="A7" s="24" t="s">
        <v>39</v>
      </c>
      <c r="B7" s="4">
        <v>0.41666666666666669</v>
      </c>
    </row>
    <row r="8" spans="1:27" x14ac:dyDescent="0.3">
      <c r="A8" s="24" t="s">
        <v>40</v>
      </c>
      <c r="B8" s="4">
        <v>0.41666666666666669</v>
      </c>
      <c r="C8">
        <v>4660072.63</v>
      </c>
      <c r="D8">
        <v>730396.61</v>
      </c>
      <c r="E8">
        <v>1709078.18</v>
      </c>
      <c r="F8">
        <v>459118.6</v>
      </c>
      <c r="G8">
        <v>515978.45</v>
      </c>
      <c r="H8">
        <v>1298375.74</v>
      </c>
      <c r="I8">
        <v>102955.5</v>
      </c>
      <c r="J8">
        <v>45352.35</v>
      </c>
      <c r="K8">
        <f t="shared" si="1"/>
        <v>7420.9599999999627</v>
      </c>
      <c r="L8">
        <f t="shared" si="2"/>
        <v>632.13000000000466</v>
      </c>
      <c r="M8">
        <f t="shared" si="3"/>
        <v>7269.5800000000745</v>
      </c>
      <c r="N8">
        <f t="shared" si="4"/>
        <v>501.45000000001164</v>
      </c>
      <c r="O8">
        <f t="shared" si="5"/>
        <v>646.61999999999534</v>
      </c>
      <c r="P8">
        <f t="shared" si="6"/>
        <v>1633.2600000000093</v>
      </c>
      <c r="Q8">
        <f t="shared" si="7"/>
        <v>1878.0599999999977</v>
      </c>
      <c r="R8">
        <f t="shared" si="8"/>
        <v>200.63999999999942</v>
      </c>
      <c r="S8" s="3">
        <f t="shared" si="9"/>
        <v>4.9533214122839055</v>
      </c>
      <c r="T8" s="9">
        <f t="shared" si="10"/>
        <v>56.963862294640244</v>
      </c>
      <c r="U8" s="13">
        <f t="shared" si="11"/>
        <v>3.929323117380608</v>
      </c>
      <c r="V8" s="10">
        <f t="shared" si="12"/>
        <v>5.0668639229446031</v>
      </c>
      <c r="W8" s="16">
        <f t="shared" si="13"/>
        <v>12.798098064997387</v>
      </c>
      <c r="X8" s="17">
        <f t="shared" si="14"/>
        <v>14.716331785477404</v>
      </c>
      <c r="Y8" s="18">
        <f t="shared" si="15"/>
        <v>1.5721994022758492</v>
      </c>
      <c r="Z8">
        <f t="shared" si="16"/>
        <v>12761.740000000093</v>
      </c>
      <c r="AA8">
        <f t="shared" si="17"/>
        <v>100</v>
      </c>
    </row>
    <row r="9" spans="1:27" x14ac:dyDescent="0.3">
      <c r="A9" s="23" t="s">
        <v>41</v>
      </c>
      <c r="B9" s="2">
        <v>0.41666666666666669</v>
      </c>
      <c r="C9">
        <v>4667493.59</v>
      </c>
      <c r="D9">
        <v>731028.74</v>
      </c>
      <c r="E9">
        <v>1716347.76</v>
      </c>
      <c r="F9">
        <v>459620.05</v>
      </c>
      <c r="G9">
        <v>516625.07</v>
      </c>
      <c r="H9">
        <v>1300009</v>
      </c>
      <c r="I9">
        <v>104833.56</v>
      </c>
      <c r="J9">
        <v>45552.99</v>
      </c>
      <c r="K9">
        <f t="shared" si="1"/>
        <v>7356.570000000298</v>
      </c>
      <c r="L9">
        <f t="shared" si="2"/>
        <v>630.72999999998137</v>
      </c>
      <c r="M9">
        <f t="shared" si="3"/>
        <v>-1544735.84</v>
      </c>
      <c r="N9">
        <f t="shared" si="4"/>
        <v>440.85000000003492</v>
      </c>
      <c r="O9">
        <f t="shared" si="5"/>
        <v>634.70000000001164</v>
      </c>
      <c r="P9">
        <f t="shared" si="6"/>
        <v>1910.8300000000745</v>
      </c>
      <c r="Q9">
        <f t="shared" si="7"/>
        <v>2467.1199999999953</v>
      </c>
      <c r="R9">
        <f t="shared" si="8"/>
        <v>218.76000000000204</v>
      </c>
      <c r="S9" s="3">
        <f t="shared" si="9"/>
        <v>-4.0998214514203948E-2</v>
      </c>
      <c r="T9" s="9">
        <f t="shared" si="10"/>
        <v>100.40970198991788</v>
      </c>
      <c r="U9" s="13">
        <f t="shared" si="11"/>
        <v>-2.8655784358741103E-2</v>
      </c>
      <c r="V9" s="10">
        <f t="shared" si="12"/>
        <v>-4.125626932628302E-2</v>
      </c>
      <c r="W9" s="16">
        <f t="shared" si="13"/>
        <v>-0.12420626613635263</v>
      </c>
      <c r="X9" s="17">
        <f t="shared" si="14"/>
        <v>-0.16036579042107657</v>
      </c>
      <c r="Y9" s="18">
        <f t="shared" si="15"/>
        <v>-1.4219665161206227E-2</v>
      </c>
      <c r="Z9">
        <f t="shared" si="16"/>
        <v>-1538432.8499999999</v>
      </c>
      <c r="AA9">
        <f t="shared" si="17"/>
        <v>100</v>
      </c>
    </row>
    <row r="10" spans="1:27" x14ac:dyDescent="0.3">
      <c r="A10" s="23" t="s">
        <v>42</v>
      </c>
      <c r="B10" s="2">
        <v>0.41666666666666669</v>
      </c>
      <c r="C10">
        <v>4674850.16</v>
      </c>
      <c r="D10">
        <v>731659.47</v>
      </c>
      <c r="E10">
        <v>171611.92</v>
      </c>
      <c r="F10">
        <v>460060.9</v>
      </c>
      <c r="G10">
        <v>517259.77</v>
      </c>
      <c r="H10">
        <v>1301919.83</v>
      </c>
      <c r="I10">
        <v>107300.68</v>
      </c>
      <c r="J10">
        <v>45771.75</v>
      </c>
      <c r="K10">
        <f t="shared" si="1"/>
        <v>7870.429999999702</v>
      </c>
      <c r="L10">
        <f t="shared" si="2"/>
        <v>874.30000000004657</v>
      </c>
      <c r="M10">
        <f t="shared" si="3"/>
        <v>1541417.077</v>
      </c>
      <c r="N10">
        <f t="shared" si="4"/>
        <v>525.89999999996508</v>
      </c>
      <c r="O10">
        <f t="shared" si="5"/>
        <v>690.64999999996508</v>
      </c>
      <c r="P10">
        <f t="shared" si="6"/>
        <v>1850.1199999998789</v>
      </c>
      <c r="Q10">
        <f t="shared" si="7"/>
        <v>2896.820000000007</v>
      </c>
      <c r="R10">
        <f t="shared" si="8"/>
        <v>207.7300000000032</v>
      </c>
      <c r="S10" s="3">
        <f t="shared" si="9"/>
        <v>5.6462455192261035E-2</v>
      </c>
      <c r="T10" s="9">
        <f t="shared" si="10"/>
        <v>99.5449990194371</v>
      </c>
      <c r="U10" s="13">
        <f t="shared" si="11"/>
        <v>3.3962718958717289E-2</v>
      </c>
      <c r="V10" s="10">
        <f t="shared" si="12"/>
        <v>4.4602304333216332E-2</v>
      </c>
      <c r="W10" s="16">
        <f t="shared" si="13"/>
        <v>0.11948109070146815</v>
      </c>
      <c r="X10" s="17">
        <f t="shared" si="14"/>
        <v>0.18707716967864269</v>
      </c>
      <c r="Y10" s="18">
        <f t="shared" si="15"/>
        <v>1.3415241698602243E-2</v>
      </c>
      <c r="Z10">
        <f t="shared" si="16"/>
        <v>1548462.5969999998</v>
      </c>
      <c r="AA10">
        <f t="shared" si="17"/>
        <v>100</v>
      </c>
    </row>
    <row r="11" spans="1:27" x14ac:dyDescent="0.3">
      <c r="A11" s="23" t="s">
        <v>43</v>
      </c>
      <c r="B11" s="2">
        <v>0.41666666666666669</v>
      </c>
      <c r="C11">
        <v>4682720.59</v>
      </c>
      <c r="D11">
        <v>732533.77</v>
      </c>
      <c r="E11">
        <v>1713028.997</v>
      </c>
      <c r="F11">
        <v>460586.8</v>
      </c>
      <c r="G11">
        <v>517950.42</v>
      </c>
      <c r="H11">
        <v>1303769.95</v>
      </c>
      <c r="I11">
        <v>110197.5</v>
      </c>
      <c r="J11">
        <v>45979.48</v>
      </c>
      <c r="K11">
        <f t="shared" si="1"/>
        <v>7281.3100000005215</v>
      </c>
      <c r="L11">
        <f t="shared" si="2"/>
        <v>688.43999999994412</v>
      </c>
      <c r="M11">
        <f t="shared" si="3"/>
        <v>1369.5530000000726</v>
      </c>
      <c r="N11">
        <f t="shared" si="4"/>
        <v>496.67999999999302</v>
      </c>
      <c r="O11">
        <f t="shared" si="5"/>
        <v>685.55999999999767</v>
      </c>
      <c r="P11">
        <f t="shared" si="6"/>
        <v>1518.5</v>
      </c>
      <c r="Q11">
        <f t="shared" si="7"/>
        <v>2813.6699999999983</v>
      </c>
      <c r="R11">
        <f t="shared" si="8"/>
        <v>186.96999999999389</v>
      </c>
      <c r="S11" s="3">
        <f t="shared" si="9"/>
        <v>8.8723663625906912</v>
      </c>
      <c r="T11" s="9">
        <f t="shared" si="10"/>
        <v>17.650304992427515</v>
      </c>
      <c r="U11" s="13">
        <f t="shared" si="11"/>
        <v>6.4010326607574219</v>
      </c>
      <c r="V11" s="10">
        <f t="shared" si="12"/>
        <v>8.835249961562587</v>
      </c>
      <c r="W11" s="16">
        <f t="shared" si="13"/>
        <v>19.569880195216804</v>
      </c>
      <c r="X11" s="17">
        <f t="shared" si="14"/>
        <v>36.261563917600022</v>
      </c>
      <c r="Y11" s="18">
        <f t="shared" si="15"/>
        <v>2.4096019098449566</v>
      </c>
      <c r="Z11">
        <f t="shared" si="16"/>
        <v>7759.3729999999996</v>
      </c>
      <c r="AA11">
        <f t="shared" si="17"/>
        <v>100</v>
      </c>
    </row>
    <row r="12" spans="1:27" x14ac:dyDescent="0.3">
      <c r="A12" s="23" t="s">
        <v>44</v>
      </c>
      <c r="B12" s="2">
        <v>0.41666666666666669</v>
      </c>
      <c r="C12">
        <v>4690001.9000000004</v>
      </c>
      <c r="D12">
        <v>733222.21</v>
      </c>
      <c r="E12">
        <v>1714398.55</v>
      </c>
      <c r="F12">
        <v>461083.48</v>
      </c>
      <c r="G12">
        <v>518635.98</v>
      </c>
      <c r="H12">
        <v>1305288.45</v>
      </c>
      <c r="I12">
        <v>113011.17</v>
      </c>
      <c r="J12">
        <v>46166.45</v>
      </c>
      <c r="K12">
        <f t="shared" si="1"/>
        <v>-4690001.9000000004</v>
      </c>
      <c r="L12">
        <f t="shared" si="2"/>
        <v>-733222.21</v>
      </c>
      <c r="M12">
        <f t="shared" si="3"/>
        <v>-1714398.55</v>
      </c>
      <c r="N12">
        <f t="shared" si="4"/>
        <v>-461083.48</v>
      </c>
      <c r="O12">
        <f t="shared" si="5"/>
        <v>-518635.98</v>
      </c>
      <c r="P12">
        <f t="shared" si="6"/>
        <v>-1305288.45</v>
      </c>
      <c r="Q12">
        <f t="shared" si="7"/>
        <v>-113011.17</v>
      </c>
      <c r="R12">
        <f t="shared" si="8"/>
        <v>-46166.45</v>
      </c>
      <c r="S12" s="3">
        <f t="shared" si="9"/>
        <v>14.9887825995661</v>
      </c>
      <c r="T12" s="9">
        <f t="shared" si="10"/>
        <v>35.046329481701534</v>
      </c>
      <c r="U12" s="13">
        <f t="shared" si="11"/>
        <v>9.4256283398335459</v>
      </c>
      <c r="V12" s="10">
        <f t="shared" si="12"/>
        <v>10.602136496292047</v>
      </c>
      <c r="W12" s="16">
        <f t="shared" si="13"/>
        <v>26.683158993198809</v>
      </c>
      <c r="X12" s="17">
        <f t="shared" si="14"/>
        <v>2.3102135141986579</v>
      </c>
      <c r="Y12" s="18">
        <f t="shared" si="15"/>
        <v>0.94375057520930572</v>
      </c>
      <c r="Z12">
        <f t="shared" si="16"/>
        <v>-4891806.29</v>
      </c>
      <c r="AA12">
        <f t="shared" si="17"/>
        <v>100.00000000000001</v>
      </c>
    </row>
    <row r="13" spans="1:27" x14ac:dyDescent="0.3">
      <c r="A13" s="23" t="s">
        <v>45</v>
      </c>
      <c r="B13" s="2">
        <v>0.41666666666666669</v>
      </c>
    </row>
    <row r="14" spans="1:27" x14ac:dyDescent="0.3">
      <c r="A14" s="24" t="s">
        <v>47</v>
      </c>
      <c r="B14" s="4"/>
      <c r="C14">
        <v>4706036.2</v>
      </c>
      <c r="D14">
        <v>724123.32</v>
      </c>
      <c r="E14">
        <v>1717244.48</v>
      </c>
      <c r="F14">
        <v>462242.31</v>
      </c>
      <c r="G14">
        <v>526531.09</v>
      </c>
      <c r="H14">
        <v>1309320.18</v>
      </c>
      <c r="I14">
        <v>119277.81</v>
      </c>
      <c r="J14">
        <v>46619.81</v>
      </c>
      <c r="K14">
        <f t="shared" si="1"/>
        <v>6567.8799999998882</v>
      </c>
      <c r="L14">
        <f t="shared" si="2"/>
        <v>11285.740000000107</v>
      </c>
      <c r="M14">
        <f t="shared" si="3"/>
        <v>1425.9899999999907</v>
      </c>
      <c r="N14">
        <f t="shared" si="4"/>
        <v>479.79999999998836</v>
      </c>
      <c r="O14">
        <f t="shared" si="5"/>
        <v>-5059.2999999999884</v>
      </c>
      <c r="P14">
        <f t="shared" si="6"/>
        <v>1638.9200000001583</v>
      </c>
      <c r="Q14">
        <f t="shared" si="7"/>
        <v>2070.8699999999953</v>
      </c>
      <c r="R14">
        <f t="shared" si="8"/>
        <v>198.55000000000291</v>
      </c>
      <c r="S14" s="3">
        <f t="shared" si="9"/>
        <v>93.73094463135773</v>
      </c>
      <c r="T14" s="9">
        <f t="shared" si="10"/>
        <v>11.843210080585559</v>
      </c>
      <c r="U14" s="13">
        <f t="shared" si="11"/>
        <v>3.9848611818209458</v>
      </c>
      <c r="V14" s="10">
        <f t="shared" si="12"/>
        <v>-42.018774858664344</v>
      </c>
      <c r="W14" s="16">
        <f t="shared" si="13"/>
        <v>13.611647953544756</v>
      </c>
      <c r="X14" s="17">
        <f t="shared" si="14"/>
        <v>17.199102700287042</v>
      </c>
      <c r="Y14" s="18">
        <f t="shared" si="15"/>
        <v>1.6490083110683191</v>
      </c>
      <c r="Z14">
        <f t="shared" si="16"/>
        <v>12040.570000000254</v>
      </c>
      <c r="AA14">
        <f t="shared" si="17"/>
        <v>100.00000000000001</v>
      </c>
    </row>
    <row r="15" spans="1:27" x14ac:dyDescent="0.3">
      <c r="A15" s="24" t="s">
        <v>48</v>
      </c>
      <c r="B15" s="4"/>
      <c r="C15">
        <v>4712604.08</v>
      </c>
      <c r="D15">
        <v>735409.06</v>
      </c>
      <c r="E15">
        <v>1718670.47</v>
      </c>
      <c r="F15">
        <v>462722.11</v>
      </c>
      <c r="G15">
        <v>521471.79</v>
      </c>
      <c r="H15">
        <v>1310959.1000000001</v>
      </c>
      <c r="I15">
        <v>121348.68</v>
      </c>
      <c r="J15">
        <v>46818.36</v>
      </c>
      <c r="K15">
        <f t="shared" si="1"/>
        <v>7250.429999999702</v>
      </c>
      <c r="L15">
        <f t="shared" si="2"/>
        <v>651.62999999988824</v>
      </c>
      <c r="M15">
        <f t="shared" si="3"/>
        <v>1524.8800000001211</v>
      </c>
      <c r="N15">
        <f t="shared" si="4"/>
        <v>559.78000000002794</v>
      </c>
      <c r="O15">
        <f t="shared" si="5"/>
        <v>659.92000000004191</v>
      </c>
      <c r="P15">
        <f t="shared" si="6"/>
        <v>-1177939.28</v>
      </c>
      <c r="Q15">
        <f t="shared" si="7"/>
        <v>2160.7300000000105</v>
      </c>
      <c r="R15">
        <f t="shared" si="8"/>
        <v>218.94999999999709</v>
      </c>
      <c r="S15" s="3">
        <f t="shared" si="9"/>
        <v>-5.5592079189564887E-2</v>
      </c>
      <c r="T15" s="9">
        <f t="shared" si="10"/>
        <v>-0.13009107885549312</v>
      </c>
      <c r="U15" s="13">
        <f t="shared" si="11"/>
        <v>-4.7756140890906684E-2</v>
      </c>
      <c r="V15" s="10">
        <f t="shared" si="12"/>
        <v>-5.6299318476414964E-2</v>
      </c>
      <c r="W15" s="16">
        <f t="shared" si="13"/>
        <v>100.49275468328696</v>
      </c>
      <c r="X15" s="17">
        <f t="shared" si="14"/>
        <v>-0.18433692934224902</v>
      </c>
      <c r="Y15" s="18">
        <f t="shared" si="15"/>
        <v>-1.8679136532322265E-2</v>
      </c>
      <c r="Z15">
        <f t="shared" si="16"/>
        <v>-1172163.3899999999</v>
      </c>
      <c r="AA15">
        <f t="shared" si="17"/>
        <v>100</v>
      </c>
    </row>
    <row r="16" spans="1:27" x14ac:dyDescent="0.3">
      <c r="A16" s="23" t="s">
        <v>46</v>
      </c>
      <c r="B16" s="2" t="s">
        <v>49</v>
      </c>
      <c r="C16">
        <v>4719854.51</v>
      </c>
      <c r="D16">
        <v>736060.69</v>
      </c>
      <c r="E16">
        <v>1720195.35</v>
      </c>
      <c r="F16">
        <v>463281.89</v>
      </c>
      <c r="G16">
        <v>522131.71</v>
      </c>
      <c r="H16">
        <v>133019.82</v>
      </c>
      <c r="I16">
        <v>123509.41</v>
      </c>
      <c r="J16">
        <v>47037.31</v>
      </c>
      <c r="K16">
        <f t="shared" si="1"/>
        <v>6946.660000000149</v>
      </c>
      <c r="L16">
        <f t="shared" si="2"/>
        <v>612.45000000006985</v>
      </c>
      <c r="M16">
        <f t="shared" si="3"/>
        <v>1501.2999999998137</v>
      </c>
      <c r="N16">
        <f t="shared" si="4"/>
        <v>555.02999999996973</v>
      </c>
      <c r="O16">
        <f t="shared" si="5"/>
        <v>595.73999999999069</v>
      </c>
      <c r="P16">
        <f t="shared" si="6"/>
        <v>1181626.67</v>
      </c>
      <c r="Q16">
        <f t="shared" si="7"/>
        <v>2302.0099999999948</v>
      </c>
      <c r="R16">
        <f t="shared" si="8"/>
        <v>-42312.377</v>
      </c>
      <c r="S16" s="3">
        <f t="shared" si="9"/>
        <v>5.3494650944997973E-2</v>
      </c>
      <c r="T16" s="9">
        <f t="shared" si="10"/>
        <v>0.13113155272055896</v>
      </c>
      <c r="U16" s="13">
        <f t="shared" si="11"/>
        <v>4.8479281760139145E-2</v>
      </c>
      <c r="V16" s="10">
        <f t="shared" si="12"/>
        <v>5.2035110382837715E-2</v>
      </c>
      <c r="W16" s="16">
        <f t="shared" si="13"/>
        <v>103.20957834752728</v>
      </c>
      <c r="X16" s="17">
        <f t="shared" si="14"/>
        <v>0.20106983659381247</v>
      </c>
      <c r="Y16" s="18">
        <f t="shared" si="15"/>
        <v>-3.6957887799296305</v>
      </c>
      <c r="Z16">
        <f t="shared" si="16"/>
        <v>1144880.8229999996</v>
      </c>
      <c r="AA16">
        <f t="shared" si="17"/>
        <v>100</v>
      </c>
    </row>
    <row r="17" spans="1:27" x14ac:dyDescent="0.3">
      <c r="A17" s="23" t="s">
        <v>51</v>
      </c>
      <c r="B17" s="2" t="s">
        <v>49</v>
      </c>
      <c r="C17">
        <v>4726801.17</v>
      </c>
      <c r="D17">
        <v>736673.14</v>
      </c>
      <c r="E17">
        <v>1721696.65</v>
      </c>
      <c r="F17">
        <v>463836.92</v>
      </c>
      <c r="G17">
        <v>522727.45</v>
      </c>
      <c r="H17">
        <v>1314646.49</v>
      </c>
      <c r="I17">
        <v>125811.42</v>
      </c>
      <c r="J17">
        <v>4724.933</v>
      </c>
      <c r="K17">
        <f t="shared" si="1"/>
        <v>6815.910000000149</v>
      </c>
      <c r="L17">
        <f t="shared" si="2"/>
        <v>647.02000000001863</v>
      </c>
      <c r="M17">
        <f t="shared" si="3"/>
        <v>1969.160000000149</v>
      </c>
      <c r="N17">
        <f t="shared" si="4"/>
        <v>505.63000000000466</v>
      </c>
      <c r="O17">
        <f t="shared" si="5"/>
        <v>585.02999999996973</v>
      </c>
      <c r="P17">
        <f t="shared" si="6"/>
        <v>1464.5300000000279</v>
      </c>
      <c r="Q17">
        <f t="shared" si="7"/>
        <v>1132205.04</v>
      </c>
      <c r="R17">
        <f t="shared" si="8"/>
        <v>42761.507000000005</v>
      </c>
      <c r="S17" s="3">
        <f t="shared" si="9"/>
        <v>5.4825795415911427E-2</v>
      </c>
      <c r="T17" s="9">
        <f t="shared" si="10"/>
        <v>0.16685846388241662</v>
      </c>
      <c r="U17" s="13">
        <f t="shared" si="11"/>
        <v>4.2844992328130119E-2</v>
      </c>
      <c r="V17" s="10">
        <f t="shared" si="12"/>
        <v>4.9573019523612989E-2</v>
      </c>
      <c r="W17" s="16">
        <f t="shared" si="13"/>
        <v>0.12409820741316184</v>
      </c>
      <c r="X17" s="17">
        <f t="shared" si="14"/>
        <v>95.93836649856577</v>
      </c>
      <c r="Y17" s="18">
        <f t="shared" si="15"/>
        <v>3.6234330228710041</v>
      </c>
      <c r="Z17">
        <f t="shared" si="16"/>
        <v>1180137.9170000001</v>
      </c>
      <c r="AA17">
        <f t="shared" si="17"/>
        <v>100</v>
      </c>
    </row>
    <row r="18" spans="1:27" x14ac:dyDescent="0.3">
      <c r="A18" s="23" t="s">
        <v>52</v>
      </c>
      <c r="B18" s="2" t="s">
        <v>49</v>
      </c>
      <c r="C18">
        <v>4733617.08</v>
      </c>
      <c r="D18">
        <v>737320.16</v>
      </c>
      <c r="E18">
        <v>1723665.81</v>
      </c>
      <c r="F18">
        <v>464342.55</v>
      </c>
      <c r="G18">
        <v>523312.48</v>
      </c>
      <c r="H18">
        <v>1316111.02</v>
      </c>
      <c r="I18">
        <v>1258016.46</v>
      </c>
      <c r="J18">
        <v>47486.44</v>
      </c>
      <c r="K18">
        <f t="shared" si="1"/>
        <v>-4733617.08</v>
      </c>
      <c r="L18">
        <f t="shared" si="2"/>
        <v>-737320.16</v>
      </c>
      <c r="M18">
        <f t="shared" si="3"/>
        <v>-1723665.81</v>
      </c>
      <c r="N18">
        <f t="shared" si="4"/>
        <v>-464342.55</v>
      </c>
      <c r="O18">
        <f t="shared" si="5"/>
        <v>-523312.48</v>
      </c>
      <c r="P18">
        <f t="shared" si="6"/>
        <v>-1316111.02</v>
      </c>
      <c r="Q18">
        <f t="shared" si="7"/>
        <v>-1258016.46</v>
      </c>
      <c r="R18">
        <f t="shared" si="8"/>
        <v>-47486.44</v>
      </c>
      <c r="S18" s="3">
        <f t="shared" si="9"/>
        <v>12.146444749308817</v>
      </c>
      <c r="T18" s="9">
        <f t="shared" si="10"/>
        <v>28.395278826280329</v>
      </c>
      <c r="U18" s="13">
        <f t="shared" si="11"/>
        <v>7.6494736402272876</v>
      </c>
      <c r="V18" s="10">
        <f t="shared" si="12"/>
        <v>8.6209308652889316</v>
      </c>
      <c r="W18" s="16">
        <f t="shared" si="13"/>
        <v>21.681313838463971</v>
      </c>
      <c r="X18" s="17">
        <f t="shared" si="14"/>
        <v>20.724277259841998</v>
      </c>
      <c r="Y18" s="18">
        <f t="shared" si="15"/>
        <v>0.7822808205886681</v>
      </c>
      <c r="Z18">
        <f t="shared" si="16"/>
        <v>-6070254.9199999999</v>
      </c>
      <c r="AA18">
        <f t="shared" si="17"/>
        <v>100</v>
      </c>
    </row>
    <row r="19" spans="1:27" x14ac:dyDescent="0.3">
      <c r="A19" s="23" t="s">
        <v>53</v>
      </c>
      <c r="B19" s="2" t="s">
        <v>49</v>
      </c>
    </row>
    <row r="20" spans="1:27" x14ac:dyDescent="0.3">
      <c r="A20" s="23" t="s">
        <v>54</v>
      </c>
      <c r="B20" s="2" t="s">
        <v>49</v>
      </c>
      <c r="C20">
        <v>4749077.72</v>
      </c>
      <c r="D20">
        <v>738732.12</v>
      </c>
      <c r="E20">
        <v>1726185.45</v>
      </c>
      <c r="F20">
        <v>465626.36</v>
      </c>
      <c r="G20">
        <v>525076.41</v>
      </c>
      <c r="H20">
        <v>1320022.0900000001</v>
      </c>
      <c r="I20">
        <v>133019.88</v>
      </c>
      <c r="J20">
        <v>47980.78</v>
      </c>
      <c r="K20">
        <f t="shared" si="1"/>
        <v>-4749077.72</v>
      </c>
      <c r="L20">
        <f t="shared" si="2"/>
        <v>-738732.12</v>
      </c>
      <c r="M20">
        <f t="shared" si="3"/>
        <v>-1726185.45</v>
      </c>
      <c r="N20">
        <f t="shared" si="4"/>
        <v>-465626.36</v>
      </c>
      <c r="O20">
        <f t="shared" si="5"/>
        <v>-525076.41</v>
      </c>
      <c r="P20">
        <f t="shared" si="6"/>
        <v>-1320022.0900000001</v>
      </c>
      <c r="Q20">
        <f t="shared" si="7"/>
        <v>-133019.88</v>
      </c>
      <c r="R20">
        <f t="shared" si="8"/>
        <v>-47980.78</v>
      </c>
      <c r="S20" s="3">
        <f t="shared" si="9"/>
        <v>14.903879633584834</v>
      </c>
      <c r="T20" s="9">
        <f t="shared" si="10"/>
        <v>34.825695912674639</v>
      </c>
      <c r="U20" s="13">
        <f t="shared" si="11"/>
        <v>9.3939860414682386</v>
      </c>
      <c r="V20" s="10">
        <f t="shared" si="12"/>
        <v>10.593387509771256</v>
      </c>
      <c r="W20" s="16">
        <f t="shared" si="13"/>
        <v>26.631372605042664</v>
      </c>
      <c r="X20" s="17">
        <f t="shared" si="14"/>
        <v>2.6836687166031155</v>
      </c>
      <c r="Y20" s="18">
        <f t="shared" si="15"/>
        <v>0.96800958085525579</v>
      </c>
      <c r="Z20">
        <f t="shared" si="16"/>
        <v>-4956643.09</v>
      </c>
      <c r="AA20">
        <f t="shared" si="17"/>
        <v>99.999999999999986</v>
      </c>
    </row>
    <row r="21" spans="1:27" x14ac:dyDescent="0.3">
      <c r="A21" s="24" t="s">
        <v>56</v>
      </c>
      <c r="B21" s="4"/>
    </row>
    <row r="22" spans="1:27" x14ac:dyDescent="0.3">
      <c r="A22" s="24" t="s">
        <v>57</v>
      </c>
      <c r="B22" s="4"/>
    </row>
    <row r="23" spans="1:27" x14ac:dyDescent="0.3">
      <c r="A23" s="23" t="s">
        <v>58</v>
      </c>
      <c r="B23" s="2" t="s">
        <v>49</v>
      </c>
    </row>
    <row r="31" spans="1:27" x14ac:dyDescent="0.3">
      <c r="B31" s="2" t="s">
        <v>1</v>
      </c>
    </row>
    <row r="32" spans="1:27" x14ac:dyDescent="0.3">
      <c r="A32" s="23" t="str">
        <f>A2</f>
        <v>01.06.2026</v>
      </c>
      <c r="B32" s="2">
        <f>B2</f>
        <v>0.41666666666666669</v>
      </c>
    </row>
    <row r="33" spans="1:2" x14ac:dyDescent="0.3">
      <c r="A33" s="23" t="str">
        <f>A3</f>
        <v>02.06.2026</v>
      </c>
      <c r="B33" s="2">
        <f>B3</f>
        <v>0.41666666666666669</v>
      </c>
    </row>
    <row r="34" spans="1:2" x14ac:dyDescent="0.3">
      <c r="A34" s="23" t="s">
        <v>35</v>
      </c>
      <c r="B34" s="2" t="s">
        <v>36</v>
      </c>
    </row>
    <row r="35" spans="1:2" x14ac:dyDescent="0.3">
      <c r="A35" s="23" t="s">
        <v>37</v>
      </c>
      <c r="B35" s="2" t="s">
        <v>36</v>
      </c>
    </row>
    <row r="36" spans="1:2" x14ac:dyDescent="0.3">
      <c r="A36" s="23" t="str">
        <f>A6</f>
        <v>05.06.2026</v>
      </c>
      <c r="B36" s="2" t="s">
        <v>36</v>
      </c>
    </row>
    <row r="37" spans="1:2" x14ac:dyDescent="0.3">
      <c r="A37" s="24" t="str">
        <f t="shared" ref="A37:A49" si="18">A7</f>
        <v>06.06.2026</v>
      </c>
      <c r="B37" s="4" t="s">
        <v>36</v>
      </c>
    </row>
    <row r="38" spans="1:2" x14ac:dyDescent="0.3">
      <c r="A38" s="24" t="str">
        <f t="shared" si="18"/>
        <v>07.06.2026</v>
      </c>
      <c r="B38" s="4" t="s">
        <v>36</v>
      </c>
    </row>
    <row r="39" spans="1:2" x14ac:dyDescent="0.3">
      <c r="A39" s="23" t="str">
        <f t="shared" si="18"/>
        <v>08.06.2026</v>
      </c>
      <c r="B39" s="2" t="s">
        <v>36</v>
      </c>
    </row>
    <row r="40" spans="1:2" x14ac:dyDescent="0.3">
      <c r="A40" s="23" t="str">
        <f t="shared" si="18"/>
        <v>09.06.2026</v>
      </c>
      <c r="B40" s="2" t="s">
        <v>36</v>
      </c>
    </row>
    <row r="41" spans="1:2" x14ac:dyDescent="0.3">
      <c r="A41" s="23" t="str">
        <f t="shared" si="18"/>
        <v>10.06.2026</v>
      </c>
      <c r="B41" s="2" t="s">
        <v>36</v>
      </c>
    </row>
    <row r="42" spans="1:2" x14ac:dyDescent="0.3">
      <c r="A42" s="23" t="str">
        <f t="shared" si="18"/>
        <v>11.06.2026</v>
      </c>
      <c r="B42" s="2" t="s">
        <v>36</v>
      </c>
    </row>
    <row r="43" spans="1:2" x14ac:dyDescent="0.3">
      <c r="A43" s="23" t="str">
        <f t="shared" si="18"/>
        <v>12.06.2026</v>
      </c>
      <c r="B43" s="2" t="s">
        <v>36</v>
      </c>
    </row>
    <row r="44" spans="1:2" x14ac:dyDescent="0.3">
      <c r="A44" s="25" t="str">
        <f t="shared" si="18"/>
        <v>13.06.2026</v>
      </c>
      <c r="B44" s="6"/>
    </row>
    <row r="45" spans="1:2" x14ac:dyDescent="0.3">
      <c r="A45" s="25" t="str">
        <f t="shared" si="18"/>
        <v>14.06.2026</v>
      </c>
      <c r="B45" s="6"/>
    </row>
    <row r="46" spans="1:2" x14ac:dyDescent="0.3">
      <c r="A46" s="23" t="str">
        <f t="shared" si="18"/>
        <v>15.06.2026</v>
      </c>
      <c r="B46" s="2" t="s">
        <v>36</v>
      </c>
    </row>
    <row r="47" spans="1:2" x14ac:dyDescent="0.3">
      <c r="A47" s="23" t="str">
        <f t="shared" si="18"/>
        <v>16.06.2026</v>
      </c>
      <c r="B47" s="2" t="s">
        <v>36</v>
      </c>
    </row>
    <row r="48" spans="1:2" x14ac:dyDescent="0.3">
      <c r="A48" s="23" t="str">
        <f t="shared" si="18"/>
        <v>17.06.2026</v>
      </c>
      <c r="B48" s="2" t="s">
        <v>36</v>
      </c>
    </row>
    <row r="49" spans="1:2" x14ac:dyDescent="0.3">
      <c r="A49" s="23" t="str">
        <f t="shared" si="18"/>
        <v>18.06.2026</v>
      </c>
      <c r="B49" s="2" t="s">
        <v>55</v>
      </c>
    </row>
    <row r="50" spans="1:2" x14ac:dyDescent="0.3">
      <c r="A50" s="23" t="str">
        <f>A20</f>
        <v>19.06.2026</v>
      </c>
      <c r="B50" s="2" t="s">
        <v>55</v>
      </c>
    </row>
    <row r="51" spans="1:2" x14ac:dyDescent="0.3">
      <c r="A51" s="24" t="str">
        <f t="shared" ref="A51:A53" si="19">A21</f>
        <v>20.06.2026</v>
      </c>
      <c r="B51" s="4"/>
    </row>
    <row r="52" spans="1:2" x14ac:dyDescent="0.3">
      <c r="A52" s="24" t="str">
        <f t="shared" si="19"/>
        <v>21.06.2026</v>
      </c>
      <c r="B52" s="4"/>
    </row>
    <row r="53" spans="1:2" x14ac:dyDescent="0.3">
      <c r="A53" s="23" t="str">
        <f t="shared" si="19"/>
        <v>22.06.2026</v>
      </c>
      <c r="B53" s="2" t="s">
        <v>49</v>
      </c>
    </row>
    <row r="62" spans="1:2" x14ac:dyDescent="0.3">
      <c r="A62" s="23" t="s">
        <v>0</v>
      </c>
      <c r="B62" s="2" t="s">
        <v>1</v>
      </c>
    </row>
    <row r="63" spans="1:2" x14ac:dyDescent="0.3">
      <c r="A63" s="23" t="str">
        <f>A2</f>
        <v>01.06.2026</v>
      </c>
      <c r="B63" s="2">
        <f t="shared" ref="A63:B74" si="20">B2</f>
        <v>0.41666666666666669</v>
      </c>
    </row>
    <row r="64" spans="1:2" x14ac:dyDescent="0.3">
      <c r="A64" s="23" t="str">
        <f t="shared" si="20"/>
        <v>02.06.2026</v>
      </c>
      <c r="B64" s="2">
        <f t="shared" si="20"/>
        <v>0.41666666666666669</v>
      </c>
    </row>
    <row r="65" spans="1:2" x14ac:dyDescent="0.3">
      <c r="A65" s="23" t="str">
        <f t="shared" si="20"/>
        <v>03.06.2026</v>
      </c>
      <c r="B65" s="2">
        <f t="shared" si="20"/>
        <v>0.41666666666666669</v>
      </c>
    </row>
    <row r="66" spans="1:2" x14ac:dyDescent="0.3">
      <c r="A66" s="23" t="str">
        <f t="shared" si="20"/>
        <v>04.06.2026</v>
      </c>
      <c r="B66" s="2">
        <f t="shared" si="20"/>
        <v>0.41666666666666669</v>
      </c>
    </row>
    <row r="67" spans="1:2" x14ac:dyDescent="0.3">
      <c r="A67" s="23" t="str">
        <f t="shared" si="20"/>
        <v>05.06.2026</v>
      </c>
      <c r="B67" s="2">
        <f t="shared" si="20"/>
        <v>0.41666666666666669</v>
      </c>
    </row>
    <row r="68" spans="1:2" x14ac:dyDescent="0.3">
      <c r="A68" s="24" t="str">
        <f t="shared" si="20"/>
        <v>06.06.2026</v>
      </c>
      <c r="B68" s="4">
        <f t="shared" si="20"/>
        <v>0.41666666666666669</v>
      </c>
    </row>
    <row r="69" spans="1:2" x14ac:dyDescent="0.3">
      <c r="A69" s="24" t="str">
        <f t="shared" si="20"/>
        <v>07.06.2026</v>
      </c>
      <c r="B69" s="4">
        <f t="shared" si="20"/>
        <v>0.41666666666666669</v>
      </c>
    </row>
    <row r="70" spans="1:2" x14ac:dyDescent="0.3">
      <c r="A70" s="23" t="str">
        <f t="shared" si="20"/>
        <v>08.06.2026</v>
      </c>
      <c r="B70" s="2">
        <f t="shared" si="20"/>
        <v>0.41666666666666669</v>
      </c>
    </row>
    <row r="71" spans="1:2" x14ac:dyDescent="0.3">
      <c r="A71" s="23" t="str">
        <f t="shared" si="20"/>
        <v>09.06.2026</v>
      </c>
      <c r="B71" s="2">
        <f t="shared" si="20"/>
        <v>0.41666666666666669</v>
      </c>
    </row>
    <row r="72" spans="1:2" x14ac:dyDescent="0.3">
      <c r="A72" s="23" t="str">
        <f t="shared" si="20"/>
        <v>10.06.2026</v>
      </c>
      <c r="B72" s="2">
        <f t="shared" si="20"/>
        <v>0.41666666666666669</v>
      </c>
    </row>
    <row r="73" spans="1:2" x14ac:dyDescent="0.3">
      <c r="A73" s="23" t="str">
        <f t="shared" si="20"/>
        <v>11.06.2026</v>
      </c>
      <c r="B73" s="2">
        <f t="shared" si="20"/>
        <v>0.41666666666666669</v>
      </c>
    </row>
    <row r="74" spans="1:2" x14ac:dyDescent="0.3">
      <c r="A74" s="23" t="str">
        <f t="shared" si="20"/>
        <v>12.06.2026</v>
      </c>
      <c r="B74" s="2">
        <f t="shared" si="20"/>
        <v>0.41666666666666669</v>
      </c>
    </row>
    <row r="75" spans="1:2" x14ac:dyDescent="0.3">
      <c r="A75" s="25" t="s">
        <v>47</v>
      </c>
      <c r="B75" s="6" t="s">
        <v>49</v>
      </c>
    </row>
    <row r="76" spans="1:2" x14ac:dyDescent="0.3">
      <c r="A76" s="25" t="s">
        <v>48</v>
      </c>
      <c r="B76" s="6" t="s">
        <v>49</v>
      </c>
    </row>
    <row r="77" spans="1:2" x14ac:dyDescent="0.3">
      <c r="A77" s="23" t="s">
        <v>46</v>
      </c>
      <c r="B77" s="2" t="s">
        <v>49</v>
      </c>
    </row>
    <row r="78" spans="1:2" x14ac:dyDescent="0.3">
      <c r="A78" s="23" t="s">
        <v>51</v>
      </c>
      <c r="B78" s="2" t="s">
        <v>49</v>
      </c>
    </row>
    <row r="79" spans="1:2" x14ac:dyDescent="0.3">
      <c r="A79" s="23" t="s">
        <v>52</v>
      </c>
      <c r="B79" s="2" t="s">
        <v>49</v>
      </c>
    </row>
    <row r="80" spans="1:2" x14ac:dyDescent="0.3">
      <c r="A80" s="23" t="s">
        <v>53</v>
      </c>
      <c r="B80" s="2" t="s">
        <v>49</v>
      </c>
    </row>
    <row r="81" spans="1:2" x14ac:dyDescent="0.3">
      <c r="A81" s="23" t="s">
        <v>54</v>
      </c>
      <c r="B81" s="2" t="s">
        <v>49</v>
      </c>
    </row>
    <row r="82" spans="1:2" x14ac:dyDescent="0.3">
      <c r="A82" s="24" t="s">
        <v>56</v>
      </c>
      <c r="B82" s="2" t="s">
        <v>49</v>
      </c>
    </row>
    <row r="83" spans="1:2" x14ac:dyDescent="0.3">
      <c r="A83" s="24" t="s">
        <v>57</v>
      </c>
      <c r="B83" s="2" t="s">
        <v>49</v>
      </c>
    </row>
    <row r="84" spans="1:2" x14ac:dyDescent="0.3">
      <c r="A84" s="23" t="s">
        <v>58</v>
      </c>
      <c r="B84" s="2" t="s">
        <v>49</v>
      </c>
    </row>
    <row r="93" spans="1:2" x14ac:dyDescent="0.3">
      <c r="A93" s="23" t="s">
        <v>0</v>
      </c>
      <c r="B93" s="2" t="s">
        <v>1</v>
      </c>
    </row>
    <row r="94" spans="1:2" x14ac:dyDescent="0.3">
      <c r="A94" s="23" t="str">
        <f t="shared" ref="A94:B105" si="21">A2</f>
        <v>01.06.2026</v>
      </c>
      <c r="B94" s="2">
        <f t="shared" si="21"/>
        <v>0.41666666666666669</v>
      </c>
    </row>
    <row r="95" spans="1:2" x14ac:dyDescent="0.3">
      <c r="A95" s="23" t="str">
        <f t="shared" si="21"/>
        <v>02.06.2026</v>
      </c>
      <c r="B95" s="2">
        <f t="shared" si="21"/>
        <v>0.41666666666666669</v>
      </c>
    </row>
    <row r="96" spans="1:2" x14ac:dyDescent="0.3">
      <c r="A96" s="23" t="str">
        <f t="shared" si="21"/>
        <v>03.06.2026</v>
      </c>
      <c r="B96" s="2">
        <f t="shared" si="21"/>
        <v>0.41666666666666669</v>
      </c>
    </row>
    <row r="97" spans="1:2" x14ac:dyDescent="0.3">
      <c r="A97" s="23" t="str">
        <f t="shared" si="21"/>
        <v>04.06.2026</v>
      </c>
      <c r="B97" s="2">
        <f t="shared" si="21"/>
        <v>0.41666666666666669</v>
      </c>
    </row>
    <row r="98" spans="1:2" x14ac:dyDescent="0.3">
      <c r="A98" s="23" t="str">
        <f t="shared" si="21"/>
        <v>05.06.2026</v>
      </c>
      <c r="B98" s="2">
        <f t="shared" si="21"/>
        <v>0.41666666666666669</v>
      </c>
    </row>
    <row r="99" spans="1:2" x14ac:dyDescent="0.3">
      <c r="A99" s="24" t="str">
        <f t="shared" si="21"/>
        <v>06.06.2026</v>
      </c>
      <c r="B99" s="4">
        <f t="shared" si="21"/>
        <v>0.41666666666666669</v>
      </c>
    </row>
    <row r="100" spans="1:2" x14ac:dyDescent="0.3">
      <c r="A100" s="24" t="str">
        <f t="shared" si="21"/>
        <v>07.06.2026</v>
      </c>
      <c r="B100" s="4">
        <f t="shared" si="21"/>
        <v>0.41666666666666669</v>
      </c>
    </row>
    <row r="101" spans="1:2" x14ac:dyDescent="0.3">
      <c r="A101" s="23" t="str">
        <f t="shared" si="21"/>
        <v>08.06.2026</v>
      </c>
      <c r="B101" s="2">
        <f t="shared" si="21"/>
        <v>0.41666666666666669</v>
      </c>
    </row>
    <row r="102" spans="1:2" x14ac:dyDescent="0.3">
      <c r="A102" s="23" t="str">
        <f t="shared" si="21"/>
        <v>09.06.2026</v>
      </c>
      <c r="B102" s="2">
        <f t="shared" si="21"/>
        <v>0.41666666666666669</v>
      </c>
    </row>
    <row r="103" spans="1:2" x14ac:dyDescent="0.3">
      <c r="A103" s="23" t="str">
        <f t="shared" si="21"/>
        <v>10.06.2026</v>
      </c>
      <c r="B103" s="2">
        <f t="shared" si="21"/>
        <v>0.41666666666666669</v>
      </c>
    </row>
    <row r="104" spans="1:2" x14ac:dyDescent="0.3">
      <c r="A104" s="23" t="str">
        <f t="shared" si="21"/>
        <v>11.06.2026</v>
      </c>
      <c r="B104" s="2">
        <f t="shared" si="21"/>
        <v>0.41666666666666669</v>
      </c>
    </row>
    <row r="105" spans="1:2" x14ac:dyDescent="0.3">
      <c r="A105" s="23" t="str">
        <f t="shared" si="21"/>
        <v>12.06.2026</v>
      </c>
      <c r="B105" s="2">
        <f t="shared" si="21"/>
        <v>0.41666666666666669</v>
      </c>
    </row>
    <row r="106" spans="1:2" x14ac:dyDescent="0.3">
      <c r="A106" s="25" t="str">
        <f>A14</f>
        <v>13.06.2026</v>
      </c>
      <c r="B106" s="6" t="s">
        <v>49</v>
      </c>
    </row>
    <row r="107" spans="1:2" x14ac:dyDescent="0.3">
      <c r="A107" s="25" t="str">
        <f>A15</f>
        <v>14.06.2026</v>
      </c>
      <c r="B107" s="6" t="s">
        <v>49</v>
      </c>
    </row>
    <row r="108" spans="1:2" x14ac:dyDescent="0.3">
      <c r="A108" s="23" t="s">
        <v>50</v>
      </c>
      <c r="B108" s="2" t="str">
        <f>B16</f>
        <v>10.00.00</v>
      </c>
    </row>
    <row r="109" spans="1:2" x14ac:dyDescent="0.3">
      <c r="A109" s="23" t="s">
        <v>51</v>
      </c>
      <c r="B109" s="2" t="s">
        <v>49</v>
      </c>
    </row>
    <row r="110" spans="1:2" x14ac:dyDescent="0.3">
      <c r="A110" s="23" t="s">
        <v>52</v>
      </c>
      <c r="B110" s="2" t="s">
        <v>49</v>
      </c>
    </row>
    <row r="111" spans="1:2" x14ac:dyDescent="0.3">
      <c r="A111" s="23" t="s">
        <v>53</v>
      </c>
      <c r="B111" s="2" t="s">
        <v>49</v>
      </c>
    </row>
    <row r="112" spans="1:2" x14ac:dyDescent="0.3">
      <c r="A112" s="23" t="s">
        <v>54</v>
      </c>
      <c r="B112" s="2" t="s">
        <v>49</v>
      </c>
    </row>
    <row r="113" spans="1:2" x14ac:dyDescent="0.3">
      <c r="A113" s="24" t="s">
        <v>56</v>
      </c>
      <c r="B113" s="4"/>
    </row>
    <row r="114" spans="1:2" x14ac:dyDescent="0.3">
      <c r="A114" s="24" t="s">
        <v>57</v>
      </c>
      <c r="B114" s="4"/>
    </row>
    <row r="115" spans="1:2" x14ac:dyDescent="0.3">
      <c r="A115" s="23" t="s">
        <v>58</v>
      </c>
      <c r="B115" s="2" t="s">
        <v>49</v>
      </c>
    </row>
    <row r="123" spans="1:2" x14ac:dyDescent="0.3">
      <c r="A123" s="23" t="s">
        <v>0</v>
      </c>
      <c r="B123" s="2" t="s">
        <v>1</v>
      </c>
    </row>
    <row r="124" spans="1:2" x14ac:dyDescent="0.3">
      <c r="A124" s="23" t="str">
        <f>A94</f>
        <v>01.06.2026</v>
      </c>
      <c r="B124" s="2">
        <f t="shared" ref="B124:B135" si="22">B2</f>
        <v>0.41666666666666669</v>
      </c>
    </row>
    <row r="125" spans="1:2" x14ac:dyDescent="0.3">
      <c r="A125" s="23" t="str">
        <f t="shared" ref="A125:B138" si="23">A3</f>
        <v>02.06.2026</v>
      </c>
      <c r="B125" s="2">
        <f t="shared" si="22"/>
        <v>0.41666666666666669</v>
      </c>
    </row>
    <row r="126" spans="1:2" x14ac:dyDescent="0.3">
      <c r="A126" s="23" t="str">
        <f t="shared" si="23"/>
        <v>03.06.2026</v>
      </c>
      <c r="B126" s="2">
        <f t="shared" si="22"/>
        <v>0.41666666666666669</v>
      </c>
    </row>
    <row r="127" spans="1:2" x14ac:dyDescent="0.3">
      <c r="A127" s="23" t="str">
        <f t="shared" si="23"/>
        <v>04.06.2026</v>
      </c>
      <c r="B127" s="2">
        <f t="shared" si="22"/>
        <v>0.41666666666666669</v>
      </c>
    </row>
    <row r="128" spans="1:2" x14ac:dyDescent="0.3">
      <c r="A128" s="23" t="str">
        <f t="shared" si="23"/>
        <v>05.06.2026</v>
      </c>
      <c r="B128" s="2">
        <f t="shared" si="22"/>
        <v>0.41666666666666669</v>
      </c>
    </row>
    <row r="129" spans="1:2" x14ac:dyDescent="0.3">
      <c r="A129" s="24" t="str">
        <f t="shared" si="23"/>
        <v>06.06.2026</v>
      </c>
      <c r="B129" s="4">
        <f t="shared" si="22"/>
        <v>0.41666666666666669</v>
      </c>
    </row>
    <row r="130" spans="1:2" x14ac:dyDescent="0.3">
      <c r="A130" s="24" t="str">
        <f t="shared" si="23"/>
        <v>07.06.2026</v>
      </c>
      <c r="B130" s="4">
        <f t="shared" si="22"/>
        <v>0.41666666666666669</v>
      </c>
    </row>
    <row r="131" spans="1:2" x14ac:dyDescent="0.3">
      <c r="A131" s="23" t="str">
        <f t="shared" si="23"/>
        <v>08.06.2026</v>
      </c>
      <c r="B131" s="2">
        <f t="shared" si="22"/>
        <v>0.41666666666666669</v>
      </c>
    </row>
    <row r="132" spans="1:2" x14ac:dyDescent="0.3">
      <c r="A132" s="23" t="str">
        <f t="shared" si="23"/>
        <v>09.06.2026</v>
      </c>
      <c r="B132" s="2">
        <f t="shared" si="22"/>
        <v>0.41666666666666669</v>
      </c>
    </row>
    <row r="133" spans="1:2" x14ac:dyDescent="0.3">
      <c r="A133" s="23" t="str">
        <f t="shared" si="23"/>
        <v>10.06.2026</v>
      </c>
      <c r="B133" s="2">
        <f t="shared" si="22"/>
        <v>0.41666666666666669</v>
      </c>
    </row>
    <row r="134" spans="1:2" x14ac:dyDescent="0.3">
      <c r="A134" s="23" t="str">
        <f t="shared" si="23"/>
        <v>11.06.2026</v>
      </c>
      <c r="B134" s="2">
        <f t="shared" si="22"/>
        <v>0.41666666666666669</v>
      </c>
    </row>
    <row r="135" spans="1:2" x14ac:dyDescent="0.3">
      <c r="A135" s="23" t="str">
        <f t="shared" si="23"/>
        <v>12.06.2026</v>
      </c>
      <c r="B135" s="2">
        <f t="shared" si="22"/>
        <v>0.41666666666666669</v>
      </c>
    </row>
    <row r="136" spans="1:2" x14ac:dyDescent="0.3">
      <c r="A136" s="25" t="str">
        <f t="shared" si="23"/>
        <v>13.06.2026</v>
      </c>
      <c r="B136" s="6" t="s">
        <v>49</v>
      </c>
    </row>
    <row r="137" spans="1:2" x14ac:dyDescent="0.3">
      <c r="A137" s="25" t="str">
        <f t="shared" si="23"/>
        <v>14.06.2026</v>
      </c>
      <c r="B137" s="6" t="s">
        <v>49</v>
      </c>
    </row>
    <row r="138" spans="1:2" x14ac:dyDescent="0.3">
      <c r="A138" s="23" t="str">
        <f t="shared" si="23"/>
        <v>15.06.2026</v>
      </c>
      <c r="B138" s="2" t="str">
        <f t="shared" si="23"/>
        <v>10.00.00</v>
      </c>
    </row>
    <row r="139" spans="1:2" x14ac:dyDescent="0.3">
      <c r="A139" s="23" t="s">
        <v>51</v>
      </c>
      <c r="B139" s="2" t="str">
        <f>B17</f>
        <v>10.00.00</v>
      </c>
    </row>
    <row r="140" spans="1:2" x14ac:dyDescent="0.3">
      <c r="A140" s="23" t="s">
        <v>52</v>
      </c>
      <c r="B140" s="2" t="str">
        <f t="shared" ref="B140:B142" si="24">B18</f>
        <v>10.00.00</v>
      </c>
    </row>
    <row r="141" spans="1:2" x14ac:dyDescent="0.3">
      <c r="A141" s="23" t="s">
        <v>53</v>
      </c>
      <c r="B141" s="2" t="str">
        <f t="shared" si="24"/>
        <v>10.00.00</v>
      </c>
    </row>
    <row r="142" spans="1:2" x14ac:dyDescent="0.3">
      <c r="A142" s="23" t="s">
        <v>54</v>
      </c>
      <c r="B142" s="2" t="str">
        <f t="shared" si="24"/>
        <v>10.00.00</v>
      </c>
    </row>
    <row r="143" spans="1:2" x14ac:dyDescent="0.3">
      <c r="A143" s="24" t="s">
        <v>56</v>
      </c>
      <c r="B143" s="4"/>
    </row>
    <row r="144" spans="1:2" x14ac:dyDescent="0.3">
      <c r="A144" s="24" t="s">
        <v>57</v>
      </c>
      <c r="B144" s="4"/>
    </row>
    <row r="145" spans="1:2" x14ac:dyDescent="0.3">
      <c r="A145" s="23" t="s">
        <v>60</v>
      </c>
      <c r="B145" s="2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B2695-E233-466C-95DC-6D7A62617A91}">
  <dimension ref="A1:H145"/>
  <sheetViews>
    <sheetView topLeftCell="C1" workbookViewId="0">
      <selection sqref="A1:B1048576"/>
    </sheetView>
  </sheetViews>
  <sheetFormatPr defaultRowHeight="14.4" x14ac:dyDescent="0.3"/>
  <cols>
    <col min="1" max="1" width="14.109375" style="23" customWidth="1"/>
    <col min="2" max="2" width="14.109375" style="2" customWidth="1"/>
    <col min="3" max="3" width="26.88671875" customWidth="1"/>
    <col min="4" max="4" width="17.88671875" style="19" customWidth="1"/>
    <col min="5" max="5" width="20.5546875" style="15" customWidth="1"/>
    <col min="6" max="6" width="17.21875" style="20" customWidth="1"/>
    <col min="7" max="7" width="13.6640625" style="21" customWidth="1"/>
    <col min="8" max="8" width="21.109375" customWidth="1"/>
  </cols>
  <sheetData>
    <row r="1" spans="1:8" x14ac:dyDescent="0.3">
      <c r="A1" s="23" t="s">
        <v>0</v>
      </c>
      <c r="B1" s="2" t="s">
        <v>1</v>
      </c>
      <c r="C1" t="s">
        <v>107</v>
      </c>
      <c r="D1" s="19" t="s">
        <v>25</v>
      </c>
      <c r="E1" s="15" t="s">
        <v>26</v>
      </c>
      <c r="F1" s="20" t="s">
        <v>27</v>
      </c>
      <c r="G1" s="21" t="s">
        <v>28</v>
      </c>
      <c r="H1" t="s">
        <v>66</v>
      </c>
    </row>
    <row r="2" spans="1:8" x14ac:dyDescent="0.3">
      <c r="A2" s="23" t="s">
        <v>134</v>
      </c>
      <c r="B2" s="2">
        <v>0.41666666666666669</v>
      </c>
      <c r="C2">
        <f>'compressor readings'!M124/'MV1'!I2*100</f>
        <v>36.518379842839373</v>
      </c>
      <c r="D2" s="19">
        <f>'compressor readings'!I124/'MV1'!I2*100</f>
        <v>17.788014533243416</v>
      </c>
      <c r="E2" s="15">
        <f>'compressor readings'!J124/'MV1'!I2*100</f>
        <v>5.8736815380440115</v>
      </c>
      <c r="F2" s="20">
        <f>'compressor readings'!K124/'MV1'!I2*100</f>
        <v>8.7030211262685082</v>
      </c>
      <c r="G2" s="21">
        <f>'compressor readings'!L124/'MV1'!I2*100</f>
        <v>4.153662645283438</v>
      </c>
      <c r="H2">
        <f>D2+E2+F2+G2</f>
        <v>36.518379842839373</v>
      </c>
    </row>
    <row r="3" spans="1:8" x14ac:dyDescent="0.3">
      <c r="A3" s="23" t="s">
        <v>133</v>
      </c>
      <c r="B3" s="2">
        <v>0.41666666666666669</v>
      </c>
      <c r="C3">
        <f>'compressor readings'!M125/'MV1'!I3*100</f>
        <v>38.907452498826032</v>
      </c>
      <c r="D3" s="19">
        <f>'compressor readings'!I125/'MV1'!I3*100</f>
        <v>17.896022702650868</v>
      </c>
      <c r="E3" s="15">
        <f>'compressor readings'!J125/'MV1'!I3*100</f>
        <v>8.8016106420432774</v>
      </c>
      <c r="F3" s="20">
        <f>'compressor readings'!K125/'MV1'!I3*100</f>
        <v>9.3227971670877547</v>
      </c>
      <c r="G3" s="21">
        <f>'compressor readings'!L125/'MV1'!I3*100</f>
        <v>2.8870219870441352</v>
      </c>
      <c r="H3">
        <f t="shared" ref="H3:H10" si="0">D3+E3+F3+G3</f>
        <v>38.907452498826039</v>
      </c>
    </row>
    <row r="4" spans="1:8" x14ac:dyDescent="0.3">
      <c r="A4" s="23" t="s">
        <v>34</v>
      </c>
      <c r="B4" s="2">
        <v>0.41666666666666669</v>
      </c>
      <c r="C4">
        <f>'compressor readings'!M128/'MV1'!I6*100</f>
        <v>10.497253452160361</v>
      </c>
      <c r="D4" s="19">
        <f>'compressor readings'!I128/'MV1'!I6*100</f>
        <v>4.3448163800874671</v>
      </c>
      <c r="E4" s="15">
        <f>'compressor readings'!J128/'MV1'!I6*100</f>
        <v>0.49490022365613462</v>
      </c>
      <c r="F4" s="20">
        <f>'compressor readings'!K128/'MV1'!I6*100</f>
        <v>4.897073964425724</v>
      </c>
      <c r="G4" s="21">
        <f>'compressor readings'!L128/'MV1'!I6*100</f>
        <v>0.76046288399103257</v>
      </c>
      <c r="H4">
        <f t="shared" si="0"/>
        <v>10.497253452160358</v>
      </c>
    </row>
    <row r="5" spans="1:8" x14ac:dyDescent="0.3">
      <c r="A5" s="23" t="s">
        <v>37</v>
      </c>
      <c r="B5" s="2">
        <v>0.41666666666666669</v>
      </c>
      <c r="C5">
        <f>'compressor readings'!M131/'MV1'!I9*100</f>
        <v>45.314538386837434</v>
      </c>
      <c r="D5" s="19">
        <f>'compressor readings'!I131/'MV1'!I9*100</f>
        <v>17.986096961390846</v>
      </c>
      <c r="E5" s="15">
        <f>'compressor readings'!J131/'MV1'!I9*100</f>
        <v>8.1012852504482957</v>
      </c>
      <c r="F5" s="20">
        <f>'compressor readings'!K131/'MV1'!I9*100</f>
        <v>9.4204068239738579</v>
      </c>
      <c r="G5" s="21">
        <f>'compressor readings'!L131/'MV1'!I9*100</f>
        <v>9.8067493510244343</v>
      </c>
      <c r="H5">
        <f t="shared" si="0"/>
        <v>45.314538386837434</v>
      </c>
    </row>
    <row r="6" spans="1:8" x14ac:dyDescent="0.3">
      <c r="A6" s="23" t="s">
        <v>38</v>
      </c>
      <c r="B6" s="2">
        <v>0.41666666666666669</v>
      </c>
      <c r="C6">
        <f>'compressor readings'!M132/'MV1'!I10*100</f>
        <v>39.207745554631011</v>
      </c>
      <c r="D6" s="19">
        <f>'compressor readings'!I132/'MV1'!I10*100</f>
        <v>16.870279958902586</v>
      </c>
      <c r="E6" s="15">
        <f>'compressor readings'!J132/'MV1'!I10*100</f>
        <v>7.9170447699257833</v>
      </c>
      <c r="F6" s="20">
        <f>'compressor readings'!K132/'MV1'!I10*100</f>
        <v>10.686885504083566</v>
      </c>
      <c r="G6" s="21">
        <f>'compressor readings'!L132/'MV1'!I10*100</f>
        <v>3.7335353217190734</v>
      </c>
      <c r="H6">
        <f t="shared" si="0"/>
        <v>39.207745554631011</v>
      </c>
    </row>
    <row r="7" spans="1:8" ht="16.2" customHeight="1" x14ac:dyDescent="0.3">
      <c r="A7" s="24" t="s">
        <v>39</v>
      </c>
      <c r="B7" s="4">
        <v>0.41666666666666669</v>
      </c>
      <c r="C7">
        <f>'compressor readings'!M133/'MV1'!I11*100</f>
        <v>47.805143059161637</v>
      </c>
      <c r="D7" s="19">
        <f>'compressor readings'!I133/'MV1'!I11*100</f>
        <v>19.216515447058288</v>
      </c>
      <c r="E7" s="15">
        <f>'compressor readings'!J133/'MV1'!I11*100</f>
        <v>7.6808731652647619</v>
      </c>
      <c r="F7" s="20">
        <f>'compressor readings'!K133/'MV1'!I11*100</f>
        <v>10.510524857390967</v>
      </c>
      <c r="G7" s="21">
        <f>'compressor readings'!L133/'MV1'!I11*100</f>
        <v>10.397229589447623</v>
      </c>
      <c r="H7">
        <f t="shared" si="0"/>
        <v>47.805143059161637</v>
      </c>
    </row>
    <row r="8" spans="1:8" x14ac:dyDescent="0.3">
      <c r="A8" s="24" t="s">
        <v>40</v>
      </c>
      <c r="B8" s="4">
        <v>0.41666666666666669</v>
      </c>
      <c r="C8">
        <f>'compressor readings'!M138/'MV1'!I16*100</f>
        <v>35.33782325098592</v>
      </c>
      <c r="D8" s="19">
        <f>'compressor readings'!I138/'MV1'!I16*100</f>
        <v>16.178927835618051</v>
      </c>
      <c r="E8" s="15">
        <f>'compressor readings'!J138/'MV1'!I16*100</f>
        <v>7.6221281311188234</v>
      </c>
      <c r="F8" s="20">
        <f>'compressor readings'!K138/'MV1'!I16*100</f>
        <v>11.530527821142368</v>
      </c>
      <c r="G8" s="21">
        <f>'compressor readings'!L138/'MV1'!I16*100</f>
        <v>6.2394631066787706E-3</v>
      </c>
      <c r="H8">
        <f t="shared" si="0"/>
        <v>35.33782325098592</v>
      </c>
    </row>
    <row r="9" spans="1:8" x14ac:dyDescent="0.3">
      <c r="A9" s="23" t="s">
        <v>41</v>
      </c>
      <c r="B9" s="2">
        <v>0.41666666666666669</v>
      </c>
      <c r="C9">
        <f>'compressor readings'!M139/'MV1'!I17*100</f>
        <v>38.464217056339074</v>
      </c>
      <c r="D9" s="19">
        <f>'compressor readings'!I139/'MV1'!I17*100</f>
        <v>17.665787582174595</v>
      </c>
      <c r="E9" s="15">
        <f>'compressor readings'!J139/'MV1'!I17*100</f>
        <v>8.4859904943236391</v>
      </c>
      <c r="F9" s="20">
        <f>'compressor readings'!K139/'MV1'!I17*100</f>
        <v>12.31243897984084</v>
      </c>
      <c r="G9" s="21">
        <f>'compressor readings'!L139/'MV1'!I17*100</f>
        <v>0</v>
      </c>
      <c r="H9">
        <f t="shared" si="0"/>
        <v>38.464217056339074</v>
      </c>
    </row>
    <row r="10" spans="1:8" x14ac:dyDescent="0.3">
      <c r="A10" s="23" t="s">
        <v>42</v>
      </c>
      <c r="B10" s="2">
        <v>0.41666666666666669</v>
      </c>
      <c r="C10">
        <f>'compressor readings'!M142/'MV1'!I20*100</f>
        <v>10.949748872700619</v>
      </c>
      <c r="D10" s="19">
        <f>'compressor readings'!I142/'MV1'!I20*100</f>
        <v>4.5325723708738623</v>
      </c>
      <c r="E10" s="15">
        <f>'compressor readings'!J142/'MV1'!I20*100</f>
        <v>0.61529446840142421</v>
      </c>
      <c r="F10" s="20">
        <f>'compressor readings'!K142/'MV1'!I20*100</f>
        <v>4.9690738800756105</v>
      </c>
      <c r="G10" s="21">
        <f>'compressor readings'!L142/'MV1'!I20*100</f>
        <v>0.83280815334972336</v>
      </c>
      <c r="H10">
        <f t="shared" si="0"/>
        <v>10.949748872700621</v>
      </c>
    </row>
    <row r="11" spans="1:8" x14ac:dyDescent="0.3">
      <c r="A11" s="23" t="s">
        <v>43</v>
      </c>
      <c r="B11" s="2">
        <v>0.41666666666666669</v>
      </c>
    </row>
    <row r="12" spans="1:8" x14ac:dyDescent="0.3">
      <c r="A12" s="23" t="s">
        <v>44</v>
      </c>
      <c r="B12" s="2">
        <v>0.41666666666666669</v>
      </c>
    </row>
    <row r="13" spans="1:8" x14ac:dyDescent="0.3">
      <c r="A13" s="23" t="s">
        <v>45</v>
      </c>
      <c r="B13" s="2">
        <v>0.41666666666666669</v>
      </c>
    </row>
    <row r="14" spans="1:8" x14ac:dyDescent="0.3">
      <c r="A14" s="24" t="s">
        <v>47</v>
      </c>
      <c r="B14" s="4"/>
    </row>
    <row r="15" spans="1:8" x14ac:dyDescent="0.3">
      <c r="A15" s="24" t="s">
        <v>48</v>
      </c>
      <c r="B15" s="4"/>
    </row>
    <row r="16" spans="1:8" x14ac:dyDescent="0.3">
      <c r="A16" s="23" t="s">
        <v>46</v>
      </c>
      <c r="B16" s="2" t="s">
        <v>49</v>
      </c>
    </row>
    <row r="17" spans="1:2" x14ac:dyDescent="0.3">
      <c r="A17" s="23" t="s">
        <v>51</v>
      </c>
      <c r="B17" s="2" t="s">
        <v>49</v>
      </c>
    </row>
    <row r="18" spans="1:2" x14ac:dyDescent="0.3">
      <c r="A18" s="23" t="s">
        <v>52</v>
      </c>
      <c r="B18" s="2" t="s">
        <v>49</v>
      </c>
    </row>
    <row r="19" spans="1:2" x14ac:dyDescent="0.3">
      <c r="A19" s="23" t="s">
        <v>53</v>
      </c>
      <c r="B19" s="2" t="s">
        <v>49</v>
      </c>
    </row>
    <row r="20" spans="1:2" x14ac:dyDescent="0.3">
      <c r="A20" s="23" t="s">
        <v>54</v>
      </c>
      <c r="B20" s="2" t="s">
        <v>49</v>
      </c>
    </row>
    <row r="21" spans="1:2" x14ac:dyDescent="0.3">
      <c r="A21" s="24" t="s">
        <v>56</v>
      </c>
      <c r="B21" s="4"/>
    </row>
    <row r="22" spans="1:2" x14ac:dyDescent="0.3">
      <c r="A22" s="24" t="s">
        <v>57</v>
      </c>
      <c r="B22" s="4"/>
    </row>
    <row r="23" spans="1:2" x14ac:dyDescent="0.3">
      <c r="A23" s="23" t="s">
        <v>58</v>
      </c>
      <c r="B23" s="2" t="s">
        <v>49</v>
      </c>
    </row>
    <row r="31" spans="1:2" x14ac:dyDescent="0.3">
      <c r="B31" s="2" t="s">
        <v>1</v>
      </c>
    </row>
    <row r="32" spans="1:2" x14ac:dyDescent="0.3">
      <c r="A32" s="23" t="str">
        <f>A2</f>
        <v>01.06.2026</v>
      </c>
      <c r="B32" s="2">
        <f>B2</f>
        <v>0.41666666666666669</v>
      </c>
    </row>
    <row r="33" spans="1:2" x14ac:dyDescent="0.3">
      <c r="A33" s="23" t="str">
        <f>A3</f>
        <v>02.06.2026</v>
      </c>
      <c r="B33" s="2">
        <f>B3</f>
        <v>0.41666666666666669</v>
      </c>
    </row>
    <row r="34" spans="1:2" x14ac:dyDescent="0.3">
      <c r="A34" s="23" t="s">
        <v>35</v>
      </c>
      <c r="B34" s="2" t="s">
        <v>36</v>
      </c>
    </row>
    <row r="35" spans="1:2" x14ac:dyDescent="0.3">
      <c r="A35" s="23" t="s">
        <v>37</v>
      </c>
      <c r="B35" s="2" t="s">
        <v>36</v>
      </c>
    </row>
    <row r="36" spans="1:2" x14ac:dyDescent="0.3">
      <c r="A36" s="23" t="str">
        <f>A6</f>
        <v>05.06.2026</v>
      </c>
      <c r="B36" s="2" t="s">
        <v>36</v>
      </c>
    </row>
    <row r="37" spans="1:2" x14ac:dyDescent="0.3">
      <c r="A37" s="24" t="str">
        <f t="shared" ref="A37:A49" si="1">A7</f>
        <v>06.06.2026</v>
      </c>
      <c r="B37" s="4" t="s">
        <v>36</v>
      </c>
    </row>
    <row r="38" spans="1:2" x14ac:dyDescent="0.3">
      <c r="A38" s="24" t="str">
        <f t="shared" si="1"/>
        <v>07.06.2026</v>
      </c>
      <c r="B38" s="4" t="s">
        <v>36</v>
      </c>
    </row>
    <row r="39" spans="1:2" x14ac:dyDescent="0.3">
      <c r="A39" s="23" t="str">
        <f t="shared" si="1"/>
        <v>08.06.2026</v>
      </c>
      <c r="B39" s="2" t="s">
        <v>36</v>
      </c>
    </row>
    <row r="40" spans="1:2" x14ac:dyDescent="0.3">
      <c r="A40" s="23" t="str">
        <f t="shared" si="1"/>
        <v>09.06.2026</v>
      </c>
      <c r="B40" s="2" t="s">
        <v>36</v>
      </c>
    </row>
    <row r="41" spans="1:2" x14ac:dyDescent="0.3">
      <c r="A41" s="23" t="str">
        <f t="shared" si="1"/>
        <v>10.06.2026</v>
      </c>
      <c r="B41" s="2" t="s">
        <v>36</v>
      </c>
    </row>
    <row r="42" spans="1:2" x14ac:dyDescent="0.3">
      <c r="A42" s="23" t="str">
        <f t="shared" si="1"/>
        <v>11.06.2026</v>
      </c>
      <c r="B42" s="2" t="s">
        <v>36</v>
      </c>
    </row>
    <row r="43" spans="1:2" x14ac:dyDescent="0.3">
      <c r="A43" s="23" t="str">
        <f t="shared" si="1"/>
        <v>12.06.2026</v>
      </c>
      <c r="B43" s="2" t="s">
        <v>36</v>
      </c>
    </row>
    <row r="44" spans="1:2" x14ac:dyDescent="0.3">
      <c r="A44" s="25" t="str">
        <f t="shared" si="1"/>
        <v>13.06.2026</v>
      </c>
      <c r="B44" s="6"/>
    </row>
    <row r="45" spans="1:2" x14ac:dyDescent="0.3">
      <c r="A45" s="25" t="str">
        <f t="shared" si="1"/>
        <v>14.06.2026</v>
      </c>
      <c r="B45" s="6"/>
    </row>
    <row r="46" spans="1:2" x14ac:dyDescent="0.3">
      <c r="A46" s="23" t="str">
        <f t="shared" si="1"/>
        <v>15.06.2026</v>
      </c>
      <c r="B46" s="2" t="s">
        <v>36</v>
      </c>
    </row>
    <row r="47" spans="1:2" x14ac:dyDescent="0.3">
      <c r="A47" s="23" t="str">
        <f t="shared" si="1"/>
        <v>16.06.2026</v>
      </c>
      <c r="B47" s="2" t="s">
        <v>36</v>
      </c>
    </row>
    <row r="48" spans="1:2" x14ac:dyDescent="0.3">
      <c r="A48" s="23" t="str">
        <f t="shared" si="1"/>
        <v>17.06.2026</v>
      </c>
      <c r="B48" s="2" t="s">
        <v>36</v>
      </c>
    </row>
    <row r="49" spans="1:2" x14ac:dyDescent="0.3">
      <c r="A49" s="23" t="str">
        <f t="shared" si="1"/>
        <v>18.06.2026</v>
      </c>
      <c r="B49" s="2" t="s">
        <v>55</v>
      </c>
    </row>
    <row r="50" spans="1:2" x14ac:dyDescent="0.3">
      <c r="A50" s="23" t="str">
        <f>A20</f>
        <v>19.06.2026</v>
      </c>
      <c r="B50" s="2" t="s">
        <v>55</v>
      </c>
    </row>
    <row r="51" spans="1:2" x14ac:dyDescent="0.3">
      <c r="A51" s="24" t="str">
        <f t="shared" ref="A51:A53" si="2">A21</f>
        <v>20.06.2026</v>
      </c>
      <c r="B51" s="4"/>
    </row>
    <row r="52" spans="1:2" x14ac:dyDescent="0.3">
      <c r="A52" s="24" t="str">
        <f t="shared" si="2"/>
        <v>21.06.2026</v>
      </c>
      <c r="B52" s="4"/>
    </row>
    <row r="53" spans="1:2" x14ac:dyDescent="0.3">
      <c r="A53" s="23" t="str">
        <f t="shared" si="2"/>
        <v>22.06.2026</v>
      </c>
      <c r="B53" s="2" t="s">
        <v>49</v>
      </c>
    </row>
    <row r="62" spans="1:2" x14ac:dyDescent="0.3">
      <c r="A62" s="23" t="s">
        <v>0</v>
      </c>
      <c r="B62" s="2" t="s">
        <v>1</v>
      </c>
    </row>
    <row r="63" spans="1:2" x14ac:dyDescent="0.3">
      <c r="A63" s="23" t="str">
        <f>A2</f>
        <v>01.06.2026</v>
      </c>
      <c r="B63" s="2">
        <f t="shared" ref="A63:B74" si="3">B2</f>
        <v>0.41666666666666669</v>
      </c>
    </row>
    <row r="64" spans="1:2" x14ac:dyDescent="0.3">
      <c r="A64" s="23" t="str">
        <f t="shared" si="3"/>
        <v>02.06.2026</v>
      </c>
      <c r="B64" s="2">
        <f t="shared" si="3"/>
        <v>0.41666666666666669</v>
      </c>
    </row>
    <row r="65" spans="1:2" x14ac:dyDescent="0.3">
      <c r="A65" s="23" t="str">
        <f t="shared" si="3"/>
        <v>03.06.2026</v>
      </c>
      <c r="B65" s="2">
        <f t="shared" si="3"/>
        <v>0.41666666666666669</v>
      </c>
    </row>
    <row r="66" spans="1:2" x14ac:dyDescent="0.3">
      <c r="A66" s="23" t="str">
        <f t="shared" si="3"/>
        <v>04.06.2026</v>
      </c>
      <c r="B66" s="2">
        <f t="shared" si="3"/>
        <v>0.41666666666666669</v>
      </c>
    </row>
    <row r="67" spans="1:2" x14ac:dyDescent="0.3">
      <c r="A67" s="23" t="str">
        <f t="shared" si="3"/>
        <v>05.06.2026</v>
      </c>
      <c r="B67" s="2">
        <f t="shared" si="3"/>
        <v>0.41666666666666669</v>
      </c>
    </row>
    <row r="68" spans="1:2" x14ac:dyDescent="0.3">
      <c r="A68" s="24" t="str">
        <f t="shared" si="3"/>
        <v>06.06.2026</v>
      </c>
      <c r="B68" s="4">
        <f t="shared" si="3"/>
        <v>0.41666666666666669</v>
      </c>
    </row>
    <row r="69" spans="1:2" x14ac:dyDescent="0.3">
      <c r="A69" s="24" t="str">
        <f t="shared" si="3"/>
        <v>07.06.2026</v>
      </c>
      <c r="B69" s="4">
        <f t="shared" si="3"/>
        <v>0.41666666666666669</v>
      </c>
    </row>
    <row r="70" spans="1:2" x14ac:dyDescent="0.3">
      <c r="A70" s="23" t="str">
        <f t="shared" si="3"/>
        <v>08.06.2026</v>
      </c>
      <c r="B70" s="2">
        <f t="shared" si="3"/>
        <v>0.41666666666666669</v>
      </c>
    </row>
    <row r="71" spans="1:2" x14ac:dyDescent="0.3">
      <c r="A71" s="23" t="str">
        <f t="shared" si="3"/>
        <v>09.06.2026</v>
      </c>
      <c r="B71" s="2">
        <f t="shared" si="3"/>
        <v>0.41666666666666669</v>
      </c>
    </row>
    <row r="72" spans="1:2" x14ac:dyDescent="0.3">
      <c r="A72" s="23" t="str">
        <f t="shared" si="3"/>
        <v>10.06.2026</v>
      </c>
      <c r="B72" s="2">
        <f t="shared" si="3"/>
        <v>0.41666666666666669</v>
      </c>
    </row>
    <row r="73" spans="1:2" x14ac:dyDescent="0.3">
      <c r="A73" s="23" t="str">
        <f t="shared" si="3"/>
        <v>11.06.2026</v>
      </c>
      <c r="B73" s="2">
        <f t="shared" si="3"/>
        <v>0.41666666666666669</v>
      </c>
    </row>
    <row r="74" spans="1:2" x14ac:dyDescent="0.3">
      <c r="A74" s="23" t="str">
        <f t="shared" si="3"/>
        <v>12.06.2026</v>
      </c>
      <c r="B74" s="2">
        <f t="shared" si="3"/>
        <v>0.41666666666666669</v>
      </c>
    </row>
    <row r="75" spans="1:2" x14ac:dyDescent="0.3">
      <c r="A75" s="25" t="s">
        <v>47</v>
      </c>
      <c r="B75" s="6" t="s">
        <v>49</v>
      </c>
    </row>
    <row r="76" spans="1:2" x14ac:dyDescent="0.3">
      <c r="A76" s="25" t="s">
        <v>48</v>
      </c>
      <c r="B76" s="6" t="s">
        <v>49</v>
      </c>
    </row>
    <row r="77" spans="1:2" x14ac:dyDescent="0.3">
      <c r="A77" s="23" t="s">
        <v>46</v>
      </c>
      <c r="B77" s="2" t="s">
        <v>49</v>
      </c>
    </row>
    <row r="78" spans="1:2" x14ac:dyDescent="0.3">
      <c r="A78" s="23" t="s">
        <v>51</v>
      </c>
      <c r="B78" s="2" t="s">
        <v>49</v>
      </c>
    </row>
    <row r="79" spans="1:2" x14ac:dyDescent="0.3">
      <c r="A79" s="23" t="s">
        <v>52</v>
      </c>
      <c r="B79" s="2" t="s">
        <v>49</v>
      </c>
    </row>
    <row r="80" spans="1:2" x14ac:dyDescent="0.3">
      <c r="A80" s="23" t="s">
        <v>53</v>
      </c>
      <c r="B80" s="2" t="s">
        <v>49</v>
      </c>
    </row>
    <row r="81" spans="1:2" x14ac:dyDescent="0.3">
      <c r="A81" s="23" t="s">
        <v>54</v>
      </c>
      <c r="B81" s="2" t="s">
        <v>49</v>
      </c>
    </row>
    <row r="82" spans="1:2" x14ac:dyDescent="0.3">
      <c r="A82" s="24" t="s">
        <v>56</v>
      </c>
      <c r="B82" s="2" t="s">
        <v>49</v>
      </c>
    </row>
    <row r="83" spans="1:2" x14ac:dyDescent="0.3">
      <c r="A83" s="24" t="s">
        <v>57</v>
      </c>
      <c r="B83" s="2" t="s">
        <v>49</v>
      </c>
    </row>
    <row r="84" spans="1:2" x14ac:dyDescent="0.3">
      <c r="A84" s="23" t="s">
        <v>58</v>
      </c>
      <c r="B84" s="2" t="s">
        <v>49</v>
      </c>
    </row>
    <row r="93" spans="1:2" x14ac:dyDescent="0.3">
      <c r="A93" s="23" t="s">
        <v>0</v>
      </c>
      <c r="B93" s="2" t="s">
        <v>1</v>
      </c>
    </row>
    <row r="94" spans="1:2" x14ac:dyDescent="0.3">
      <c r="A94" s="23" t="str">
        <f t="shared" ref="A94:B105" si="4">A2</f>
        <v>01.06.2026</v>
      </c>
      <c r="B94" s="2">
        <f t="shared" si="4"/>
        <v>0.41666666666666669</v>
      </c>
    </row>
    <row r="95" spans="1:2" x14ac:dyDescent="0.3">
      <c r="A95" s="23" t="str">
        <f t="shared" si="4"/>
        <v>02.06.2026</v>
      </c>
      <c r="B95" s="2">
        <f t="shared" si="4"/>
        <v>0.41666666666666669</v>
      </c>
    </row>
    <row r="96" spans="1:2" x14ac:dyDescent="0.3">
      <c r="A96" s="23" t="str">
        <f t="shared" si="4"/>
        <v>03.06.2026</v>
      </c>
      <c r="B96" s="2">
        <f t="shared" si="4"/>
        <v>0.41666666666666669</v>
      </c>
    </row>
    <row r="97" spans="1:2" x14ac:dyDescent="0.3">
      <c r="A97" s="23" t="str">
        <f t="shared" si="4"/>
        <v>04.06.2026</v>
      </c>
      <c r="B97" s="2">
        <f t="shared" si="4"/>
        <v>0.41666666666666669</v>
      </c>
    </row>
    <row r="98" spans="1:2" x14ac:dyDescent="0.3">
      <c r="A98" s="23" t="str">
        <f t="shared" si="4"/>
        <v>05.06.2026</v>
      </c>
      <c r="B98" s="2">
        <f t="shared" si="4"/>
        <v>0.41666666666666669</v>
      </c>
    </row>
    <row r="99" spans="1:2" x14ac:dyDescent="0.3">
      <c r="A99" s="24" t="str">
        <f t="shared" si="4"/>
        <v>06.06.2026</v>
      </c>
      <c r="B99" s="4">
        <f t="shared" si="4"/>
        <v>0.41666666666666669</v>
      </c>
    </row>
    <row r="100" spans="1:2" x14ac:dyDescent="0.3">
      <c r="A100" s="24" t="str">
        <f t="shared" si="4"/>
        <v>07.06.2026</v>
      </c>
      <c r="B100" s="4">
        <f t="shared" si="4"/>
        <v>0.41666666666666669</v>
      </c>
    </row>
    <row r="101" spans="1:2" x14ac:dyDescent="0.3">
      <c r="A101" s="23" t="str">
        <f t="shared" si="4"/>
        <v>08.06.2026</v>
      </c>
      <c r="B101" s="2">
        <f t="shared" si="4"/>
        <v>0.41666666666666669</v>
      </c>
    </row>
    <row r="102" spans="1:2" x14ac:dyDescent="0.3">
      <c r="A102" s="23" t="str">
        <f t="shared" si="4"/>
        <v>09.06.2026</v>
      </c>
      <c r="B102" s="2">
        <f t="shared" si="4"/>
        <v>0.41666666666666669</v>
      </c>
    </row>
    <row r="103" spans="1:2" x14ac:dyDescent="0.3">
      <c r="A103" s="23" t="str">
        <f t="shared" si="4"/>
        <v>10.06.2026</v>
      </c>
      <c r="B103" s="2">
        <f t="shared" si="4"/>
        <v>0.41666666666666669</v>
      </c>
    </row>
    <row r="104" spans="1:2" x14ac:dyDescent="0.3">
      <c r="A104" s="23" t="str">
        <f t="shared" si="4"/>
        <v>11.06.2026</v>
      </c>
      <c r="B104" s="2">
        <f t="shared" si="4"/>
        <v>0.41666666666666669</v>
      </c>
    </row>
    <row r="105" spans="1:2" x14ac:dyDescent="0.3">
      <c r="A105" s="23" t="str">
        <f t="shared" si="4"/>
        <v>12.06.2026</v>
      </c>
      <c r="B105" s="2">
        <f t="shared" si="4"/>
        <v>0.41666666666666669</v>
      </c>
    </row>
    <row r="106" spans="1:2" x14ac:dyDescent="0.3">
      <c r="A106" s="25" t="str">
        <f>A14</f>
        <v>13.06.2026</v>
      </c>
      <c r="B106" s="6" t="s">
        <v>49</v>
      </c>
    </row>
    <row r="107" spans="1:2" x14ac:dyDescent="0.3">
      <c r="A107" s="25" t="str">
        <f>A15</f>
        <v>14.06.2026</v>
      </c>
      <c r="B107" s="6" t="s">
        <v>49</v>
      </c>
    </row>
    <row r="108" spans="1:2" x14ac:dyDescent="0.3">
      <c r="A108" s="23" t="s">
        <v>50</v>
      </c>
      <c r="B108" s="2" t="str">
        <f>B16</f>
        <v>10.00.00</v>
      </c>
    </row>
    <row r="109" spans="1:2" x14ac:dyDescent="0.3">
      <c r="A109" s="23" t="s">
        <v>51</v>
      </c>
      <c r="B109" s="2" t="s">
        <v>49</v>
      </c>
    </row>
    <row r="110" spans="1:2" x14ac:dyDescent="0.3">
      <c r="A110" s="23" t="s">
        <v>52</v>
      </c>
      <c r="B110" s="2" t="s">
        <v>49</v>
      </c>
    </row>
    <row r="111" spans="1:2" x14ac:dyDescent="0.3">
      <c r="A111" s="23" t="s">
        <v>53</v>
      </c>
      <c r="B111" s="2" t="s">
        <v>49</v>
      </c>
    </row>
    <row r="112" spans="1:2" x14ac:dyDescent="0.3">
      <c r="A112" s="23" t="s">
        <v>54</v>
      </c>
      <c r="B112" s="2" t="s">
        <v>49</v>
      </c>
    </row>
    <row r="113" spans="1:2" x14ac:dyDescent="0.3">
      <c r="A113" s="24" t="s">
        <v>56</v>
      </c>
      <c r="B113" s="4"/>
    </row>
    <row r="114" spans="1:2" x14ac:dyDescent="0.3">
      <c r="A114" s="24" t="s">
        <v>57</v>
      </c>
      <c r="B114" s="4"/>
    </row>
    <row r="115" spans="1:2" x14ac:dyDescent="0.3">
      <c r="A115" s="23" t="s">
        <v>58</v>
      </c>
      <c r="B115" s="2" t="s">
        <v>49</v>
      </c>
    </row>
    <row r="123" spans="1:2" x14ac:dyDescent="0.3">
      <c r="A123" s="23" t="s">
        <v>0</v>
      </c>
      <c r="B123" s="2" t="s">
        <v>1</v>
      </c>
    </row>
    <row r="124" spans="1:2" x14ac:dyDescent="0.3">
      <c r="A124" s="23" t="str">
        <f>A94</f>
        <v>01.06.2026</v>
      </c>
      <c r="B124" s="2">
        <f t="shared" ref="B124:B135" si="5">B2</f>
        <v>0.41666666666666669</v>
      </c>
    </row>
    <row r="125" spans="1:2" x14ac:dyDescent="0.3">
      <c r="A125" s="23" t="str">
        <f t="shared" ref="A125:B138" si="6">A3</f>
        <v>02.06.2026</v>
      </c>
      <c r="B125" s="2">
        <f t="shared" si="5"/>
        <v>0.41666666666666669</v>
      </c>
    </row>
    <row r="126" spans="1:2" x14ac:dyDescent="0.3">
      <c r="A126" s="23" t="str">
        <f t="shared" si="6"/>
        <v>03.06.2026</v>
      </c>
      <c r="B126" s="2">
        <f t="shared" si="5"/>
        <v>0.41666666666666669</v>
      </c>
    </row>
    <row r="127" spans="1:2" x14ac:dyDescent="0.3">
      <c r="A127" s="23" t="str">
        <f t="shared" si="6"/>
        <v>04.06.2026</v>
      </c>
      <c r="B127" s="2">
        <f t="shared" si="5"/>
        <v>0.41666666666666669</v>
      </c>
    </row>
    <row r="128" spans="1:2" x14ac:dyDescent="0.3">
      <c r="A128" s="23" t="str">
        <f t="shared" si="6"/>
        <v>05.06.2026</v>
      </c>
      <c r="B128" s="2">
        <f t="shared" si="5"/>
        <v>0.41666666666666669</v>
      </c>
    </row>
    <row r="129" spans="1:2" x14ac:dyDescent="0.3">
      <c r="A129" s="24" t="str">
        <f t="shared" si="6"/>
        <v>06.06.2026</v>
      </c>
      <c r="B129" s="4">
        <f t="shared" si="5"/>
        <v>0.41666666666666669</v>
      </c>
    </row>
    <row r="130" spans="1:2" x14ac:dyDescent="0.3">
      <c r="A130" s="24" t="str">
        <f t="shared" si="6"/>
        <v>07.06.2026</v>
      </c>
      <c r="B130" s="4">
        <f t="shared" si="5"/>
        <v>0.41666666666666669</v>
      </c>
    </row>
    <row r="131" spans="1:2" x14ac:dyDescent="0.3">
      <c r="A131" s="23" t="str">
        <f t="shared" si="6"/>
        <v>08.06.2026</v>
      </c>
      <c r="B131" s="2">
        <f t="shared" si="5"/>
        <v>0.41666666666666669</v>
      </c>
    </row>
    <row r="132" spans="1:2" x14ac:dyDescent="0.3">
      <c r="A132" s="23" t="str">
        <f t="shared" si="6"/>
        <v>09.06.2026</v>
      </c>
      <c r="B132" s="2">
        <f t="shared" si="5"/>
        <v>0.41666666666666669</v>
      </c>
    </row>
    <row r="133" spans="1:2" x14ac:dyDescent="0.3">
      <c r="A133" s="23" t="str">
        <f t="shared" si="6"/>
        <v>10.06.2026</v>
      </c>
      <c r="B133" s="2">
        <f t="shared" si="5"/>
        <v>0.41666666666666669</v>
      </c>
    </row>
    <row r="134" spans="1:2" x14ac:dyDescent="0.3">
      <c r="A134" s="23" t="str">
        <f t="shared" si="6"/>
        <v>11.06.2026</v>
      </c>
      <c r="B134" s="2">
        <f t="shared" si="5"/>
        <v>0.41666666666666669</v>
      </c>
    </row>
    <row r="135" spans="1:2" x14ac:dyDescent="0.3">
      <c r="A135" s="23" t="str">
        <f t="shared" si="6"/>
        <v>12.06.2026</v>
      </c>
      <c r="B135" s="2">
        <f t="shared" si="5"/>
        <v>0.41666666666666669</v>
      </c>
    </row>
    <row r="136" spans="1:2" x14ac:dyDescent="0.3">
      <c r="A136" s="25" t="str">
        <f t="shared" si="6"/>
        <v>13.06.2026</v>
      </c>
      <c r="B136" s="6" t="s">
        <v>49</v>
      </c>
    </row>
    <row r="137" spans="1:2" x14ac:dyDescent="0.3">
      <c r="A137" s="25" t="str">
        <f t="shared" si="6"/>
        <v>14.06.2026</v>
      </c>
      <c r="B137" s="6" t="s">
        <v>49</v>
      </c>
    </row>
    <row r="138" spans="1:2" x14ac:dyDescent="0.3">
      <c r="A138" s="23" t="str">
        <f t="shared" si="6"/>
        <v>15.06.2026</v>
      </c>
      <c r="B138" s="2" t="str">
        <f t="shared" si="6"/>
        <v>10.00.00</v>
      </c>
    </row>
    <row r="139" spans="1:2" x14ac:dyDescent="0.3">
      <c r="A139" s="23" t="s">
        <v>51</v>
      </c>
      <c r="B139" s="2" t="str">
        <f>B17</f>
        <v>10.00.00</v>
      </c>
    </row>
    <row r="140" spans="1:2" x14ac:dyDescent="0.3">
      <c r="A140" s="23" t="s">
        <v>52</v>
      </c>
      <c r="B140" s="2" t="str">
        <f t="shared" ref="B140:B142" si="7">B18</f>
        <v>10.00.00</v>
      </c>
    </row>
    <row r="141" spans="1:2" x14ac:dyDescent="0.3">
      <c r="A141" s="23" t="s">
        <v>53</v>
      </c>
      <c r="B141" s="2" t="str">
        <f t="shared" si="7"/>
        <v>10.00.00</v>
      </c>
    </row>
    <row r="142" spans="1:2" x14ac:dyDescent="0.3">
      <c r="A142" s="23" t="s">
        <v>54</v>
      </c>
      <c r="B142" s="2" t="str">
        <f t="shared" si="7"/>
        <v>10.00.00</v>
      </c>
    </row>
    <row r="143" spans="1:2" x14ac:dyDescent="0.3">
      <c r="A143" s="24" t="s">
        <v>56</v>
      </c>
      <c r="B143" s="4"/>
    </row>
    <row r="144" spans="1:2" x14ac:dyDescent="0.3">
      <c r="A144" s="24" t="s">
        <v>57</v>
      </c>
      <c r="B144" s="4"/>
    </row>
    <row r="145" spans="1:2" x14ac:dyDescent="0.3">
      <c r="A145" s="23" t="s">
        <v>60</v>
      </c>
      <c r="B145" s="2" t="s">
        <v>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FA6B4-EE10-41B3-A39E-92B4DE686B7A}">
  <dimension ref="A1:F58"/>
  <sheetViews>
    <sheetView topLeftCell="A23" workbookViewId="0">
      <selection activeCell="F26" sqref="F26"/>
    </sheetView>
  </sheetViews>
  <sheetFormatPr defaultRowHeight="14.4" x14ac:dyDescent="0.3"/>
  <cols>
    <col min="1" max="1" width="29.21875" customWidth="1"/>
    <col min="2" max="2" width="35.109375" customWidth="1"/>
    <col min="3" max="3" width="25.33203125" customWidth="1"/>
    <col min="4" max="4" width="19.77734375" customWidth="1"/>
    <col min="5" max="5" width="20.21875" customWidth="1"/>
    <col min="6" max="6" width="20.33203125" customWidth="1"/>
  </cols>
  <sheetData>
    <row r="1" spans="1:6" x14ac:dyDescent="0.3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125</v>
      </c>
    </row>
    <row r="2" spans="1:6" x14ac:dyDescent="0.3">
      <c r="A2" s="22" t="s">
        <v>69</v>
      </c>
      <c r="B2" t="s">
        <v>119</v>
      </c>
      <c r="C2">
        <v>8</v>
      </c>
      <c r="D2">
        <v>3</v>
      </c>
      <c r="E2">
        <f>C2*D2</f>
        <v>24</v>
      </c>
    </row>
    <row r="3" spans="1:6" x14ac:dyDescent="0.3">
      <c r="A3" s="22"/>
      <c r="B3" t="s">
        <v>113</v>
      </c>
      <c r="C3">
        <v>220</v>
      </c>
      <c r="D3">
        <v>1</v>
      </c>
      <c r="E3">
        <f t="shared" ref="E3:E28" si="0">C3*D3</f>
        <v>220</v>
      </c>
    </row>
    <row r="4" spans="1:6" x14ac:dyDescent="0.3">
      <c r="A4" s="22"/>
      <c r="B4" t="s">
        <v>114</v>
      </c>
      <c r="C4">
        <v>210</v>
      </c>
      <c r="D4">
        <v>1</v>
      </c>
      <c r="E4">
        <f t="shared" si="0"/>
        <v>210</v>
      </c>
    </row>
    <row r="5" spans="1:6" x14ac:dyDescent="0.3">
      <c r="A5" s="22"/>
      <c r="B5" t="s">
        <v>115</v>
      </c>
      <c r="C5">
        <v>210</v>
      </c>
      <c r="D5">
        <v>1</v>
      </c>
      <c r="E5">
        <f t="shared" si="0"/>
        <v>210</v>
      </c>
    </row>
    <row r="6" spans="1:6" x14ac:dyDescent="0.3">
      <c r="A6" s="22"/>
      <c r="B6" t="s">
        <v>116</v>
      </c>
      <c r="C6">
        <v>8</v>
      </c>
      <c r="D6">
        <v>1</v>
      </c>
      <c r="E6">
        <f t="shared" si="0"/>
        <v>8</v>
      </c>
      <c r="F6">
        <f>E2+E3+E4+E5+E6+E7+E8+E9+E10</f>
        <v>732</v>
      </c>
    </row>
    <row r="7" spans="1:6" x14ac:dyDescent="0.3">
      <c r="A7" s="22"/>
      <c r="B7" t="s">
        <v>117</v>
      </c>
      <c r="C7">
        <v>6</v>
      </c>
      <c r="D7">
        <v>1</v>
      </c>
      <c r="E7">
        <f t="shared" si="0"/>
        <v>6</v>
      </c>
    </row>
    <row r="8" spans="1:6" x14ac:dyDescent="0.3">
      <c r="A8" s="22"/>
      <c r="B8" t="s">
        <v>120</v>
      </c>
      <c r="C8">
        <v>12</v>
      </c>
      <c r="D8">
        <v>2</v>
      </c>
      <c r="E8">
        <f t="shared" si="0"/>
        <v>24</v>
      </c>
    </row>
    <row r="9" spans="1:6" x14ac:dyDescent="0.3">
      <c r="A9" s="22"/>
      <c r="B9" t="s">
        <v>121</v>
      </c>
      <c r="C9">
        <v>20</v>
      </c>
      <c r="D9">
        <v>1</v>
      </c>
      <c r="E9">
        <f t="shared" si="0"/>
        <v>20</v>
      </c>
    </row>
    <row r="10" spans="1:6" x14ac:dyDescent="0.3">
      <c r="A10" s="22"/>
      <c r="B10" t="s">
        <v>122</v>
      </c>
      <c r="C10">
        <v>10</v>
      </c>
      <c r="D10">
        <v>1</v>
      </c>
      <c r="E10">
        <f t="shared" si="0"/>
        <v>10</v>
      </c>
    </row>
    <row r="11" spans="1:6" x14ac:dyDescent="0.3">
      <c r="A11" s="22"/>
    </row>
    <row r="12" spans="1:6" x14ac:dyDescent="0.3">
      <c r="A12" s="22"/>
      <c r="B12" t="s">
        <v>123</v>
      </c>
      <c r="D12">
        <v>2</v>
      </c>
    </row>
    <row r="13" spans="1:6" x14ac:dyDescent="0.3">
      <c r="A13" s="22"/>
      <c r="B13" t="s">
        <v>124</v>
      </c>
      <c r="C13">
        <v>14</v>
      </c>
    </row>
    <row r="14" spans="1:6" x14ac:dyDescent="0.3">
      <c r="A14" s="22"/>
    </row>
    <row r="15" spans="1:6" x14ac:dyDescent="0.3">
      <c r="A15" s="22"/>
    </row>
    <row r="16" spans="1:6" x14ac:dyDescent="0.3">
      <c r="A16" s="22"/>
    </row>
    <row r="17" spans="1:5" x14ac:dyDescent="0.3">
      <c r="A17" s="22"/>
    </row>
    <row r="18" spans="1:5" x14ac:dyDescent="0.3">
      <c r="A18" s="22"/>
    </row>
    <row r="19" spans="1:5" x14ac:dyDescent="0.3">
      <c r="A19" s="22"/>
    </row>
    <row r="20" spans="1:5" x14ac:dyDescent="0.3">
      <c r="A20" s="22"/>
    </row>
    <row r="21" spans="1:5" x14ac:dyDescent="0.3">
      <c r="A21" s="22"/>
    </row>
    <row r="22" spans="1:5" x14ac:dyDescent="0.3">
      <c r="A22" s="22"/>
    </row>
    <row r="23" spans="1:5" x14ac:dyDescent="0.3">
      <c r="A23" s="22"/>
    </row>
    <row r="25" spans="1:5" x14ac:dyDescent="0.3">
      <c r="A25" s="22" t="s">
        <v>126</v>
      </c>
      <c r="B25" t="s">
        <v>127</v>
      </c>
      <c r="C25">
        <v>4</v>
      </c>
      <c r="D25">
        <v>2</v>
      </c>
      <c r="E25">
        <f>C25*D25</f>
        <v>8</v>
      </c>
    </row>
    <row r="26" spans="1:5" x14ac:dyDescent="0.3">
      <c r="A26" s="22"/>
      <c r="B26" t="s">
        <v>128</v>
      </c>
      <c r="C26">
        <v>12</v>
      </c>
      <c r="D26">
        <v>1</v>
      </c>
      <c r="E26">
        <f t="shared" ref="E26:E35" si="1">C26*D26</f>
        <v>12</v>
      </c>
    </row>
    <row r="27" spans="1:5" x14ac:dyDescent="0.3">
      <c r="A27" s="22"/>
      <c r="B27" t="s">
        <v>129</v>
      </c>
      <c r="C27">
        <v>8</v>
      </c>
      <c r="D27">
        <v>1</v>
      </c>
      <c r="E27">
        <f t="shared" si="1"/>
        <v>8</v>
      </c>
    </row>
    <row r="28" spans="1:5" x14ac:dyDescent="0.3">
      <c r="A28" s="22"/>
      <c r="B28" t="s">
        <v>118</v>
      </c>
      <c r="C28">
        <v>22</v>
      </c>
      <c r="D28">
        <v>1</v>
      </c>
      <c r="E28">
        <f t="shared" si="1"/>
        <v>22</v>
      </c>
    </row>
    <row r="29" spans="1:5" x14ac:dyDescent="0.3">
      <c r="A29" s="22"/>
    </row>
    <row r="30" spans="1:5" x14ac:dyDescent="0.3">
      <c r="A30" s="22"/>
      <c r="B30" t="s">
        <v>130</v>
      </c>
    </row>
    <row r="31" spans="1:5" x14ac:dyDescent="0.3">
      <c r="A31" s="22"/>
      <c r="B31" t="s">
        <v>124</v>
      </c>
      <c r="D31">
        <v>5</v>
      </c>
    </row>
    <row r="32" spans="1:5" x14ac:dyDescent="0.3">
      <c r="A32" s="22"/>
      <c r="D32">
        <v>3</v>
      </c>
    </row>
    <row r="33" spans="1:5" x14ac:dyDescent="0.3">
      <c r="A33" s="22"/>
    </row>
    <row r="34" spans="1:5" x14ac:dyDescent="0.3">
      <c r="A34" s="22"/>
    </row>
    <row r="35" spans="1:5" x14ac:dyDescent="0.3">
      <c r="A35" s="22"/>
    </row>
    <row r="36" spans="1:5" x14ac:dyDescent="0.3">
      <c r="A36" s="22"/>
    </row>
    <row r="37" spans="1:5" x14ac:dyDescent="0.3">
      <c r="A37" s="22"/>
    </row>
    <row r="38" spans="1:5" x14ac:dyDescent="0.3">
      <c r="A38" s="22"/>
    </row>
    <row r="39" spans="1:5" x14ac:dyDescent="0.3">
      <c r="A39" s="22"/>
    </row>
    <row r="41" spans="1:5" x14ac:dyDescent="0.3">
      <c r="A41" s="22" t="s">
        <v>131</v>
      </c>
      <c r="B41" t="s">
        <v>127</v>
      </c>
      <c r="C41">
        <v>4</v>
      </c>
      <c r="D41">
        <v>1</v>
      </c>
      <c r="E41">
        <f>C41*D41</f>
        <v>4</v>
      </c>
    </row>
    <row r="42" spans="1:5" x14ac:dyDescent="0.3">
      <c r="A42" s="22"/>
      <c r="D42">
        <v>11</v>
      </c>
    </row>
    <row r="43" spans="1:5" x14ac:dyDescent="0.3">
      <c r="A43" s="22"/>
      <c r="B43" t="s">
        <v>124</v>
      </c>
      <c r="D43">
        <v>1</v>
      </c>
    </row>
    <row r="44" spans="1:5" x14ac:dyDescent="0.3">
      <c r="A44" s="22"/>
      <c r="B44" t="s">
        <v>130</v>
      </c>
    </row>
    <row r="45" spans="1:5" x14ac:dyDescent="0.3">
      <c r="A45" s="22"/>
    </row>
    <row r="46" spans="1:5" x14ac:dyDescent="0.3">
      <c r="A46" s="22"/>
    </row>
    <row r="47" spans="1:5" x14ac:dyDescent="0.3">
      <c r="A47" s="22"/>
    </row>
    <row r="48" spans="1:5" x14ac:dyDescent="0.3">
      <c r="A48" s="22"/>
    </row>
    <row r="49" spans="1:4" x14ac:dyDescent="0.3">
      <c r="A49" s="22"/>
    </row>
    <row r="50" spans="1:4" x14ac:dyDescent="0.3">
      <c r="A50" s="22"/>
    </row>
    <row r="52" spans="1:4" x14ac:dyDescent="0.3">
      <c r="A52" s="22" t="s">
        <v>132</v>
      </c>
      <c r="B52" t="s">
        <v>130</v>
      </c>
      <c r="D52">
        <v>5</v>
      </c>
    </row>
    <row r="53" spans="1:4" x14ac:dyDescent="0.3">
      <c r="A53" s="22"/>
      <c r="B53" t="s">
        <v>124</v>
      </c>
      <c r="D53">
        <v>5</v>
      </c>
    </row>
    <row r="54" spans="1:4" x14ac:dyDescent="0.3">
      <c r="A54" s="22"/>
    </row>
    <row r="55" spans="1:4" x14ac:dyDescent="0.3">
      <c r="A55" s="22"/>
    </row>
    <row r="56" spans="1:4" x14ac:dyDescent="0.3">
      <c r="A56" s="22"/>
    </row>
    <row r="57" spans="1:4" x14ac:dyDescent="0.3">
      <c r="A57" s="22"/>
    </row>
    <row r="58" spans="1:4" x14ac:dyDescent="0.3">
      <c r="A58" s="22"/>
    </row>
  </sheetData>
  <mergeCells count="4">
    <mergeCell ref="A2:A23"/>
    <mergeCell ref="A25:A39"/>
    <mergeCell ref="A41:A50"/>
    <mergeCell ref="A52:A5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compressor readings</vt:lpstr>
      <vt:lpstr>load&amp;unload</vt:lpstr>
      <vt:lpstr>contribution of each compressor</vt:lpstr>
      <vt:lpstr>MV1</vt:lpstr>
      <vt:lpstr>MV 2</vt:lpstr>
      <vt:lpstr>COMPRESSORINMV PANEL1</vt:lpstr>
      <vt:lpstr>CFM IN EACH BAY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 nive</dc:creator>
  <cp:lastModifiedBy>nive nive</cp:lastModifiedBy>
  <dcterms:created xsi:type="dcterms:W3CDTF">2026-05-29T06:11:03Z</dcterms:created>
  <dcterms:modified xsi:type="dcterms:W3CDTF">2026-06-25T05:09:06Z</dcterms:modified>
</cp:coreProperties>
</file>